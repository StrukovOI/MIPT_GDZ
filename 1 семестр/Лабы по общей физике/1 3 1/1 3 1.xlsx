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3 1\"/>
    </mc:Choice>
  </mc:AlternateContent>
  <xr:revisionPtr revIDLastSave="0" documentId="13_ncr:1_{69E431E6-0BE7-46D5-8945-C8E55F50FBD2}" xr6:coauthVersionLast="47" xr6:coauthVersionMax="47" xr10:uidLastSave="{00000000-0000-0000-0000-000000000000}"/>
  <bookViews>
    <workbookView xWindow="-108" yWindow="-108" windowWidth="23256" windowHeight="13896" xr2:uid="{9684DA49-6141-43A1-B5EC-242ED9FA32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I17" i="1"/>
  <c r="L17" i="1"/>
  <c r="K17" i="1"/>
  <c r="P23" i="1"/>
  <c r="V23" i="1"/>
  <c r="U23" i="1"/>
  <c r="T23" i="1"/>
  <c r="T18" i="1"/>
  <c r="V19" i="1"/>
  <c r="U18" i="1"/>
  <c r="S23" i="1"/>
  <c r="V22" i="1"/>
  <c r="U22" i="1"/>
  <c r="T22" i="1"/>
  <c r="S22" i="1"/>
  <c r="V16" i="1"/>
  <c r="V17" i="1"/>
  <c r="V18" i="1"/>
  <c r="V20" i="1"/>
  <c r="V21" i="1"/>
  <c r="V15" i="1"/>
  <c r="U16" i="1"/>
  <c r="U17" i="1"/>
  <c r="U19" i="1"/>
  <c r="U20" i="1"/>
  <c r="U21" i="1"/>
  <c r="U15" i="1"/>
  <c r="T16" i="1"/>
  <c r="T17" i="1"/>
  <c r="T19" i="1"/>
  <c r="T20" i="1"/>
  <c r="T21" i="1"/>
  <c r="T15" i="1"/>
  <c r="S16" i="1"/>
  <c r="S17" i="1"/>
  <c r="S18" i="1"/>
  <c r="S19" i="1"/>
  <c r="S20" i="1"/>
  <c r="S15" i="1"/>
  <c r="P22" i="1"/>
  <c r="L20" i="1"/>
  <c r="I22" i="1" s="1"/>
  <c r="H5" i="1"/>
  <c r="H6" i="1"/>
  <c r="H7" i="1"/>
  <c r="H8" i="1"/>
  <c r="H9" i="1"/>
  <c r="H10" i="1"/>
  <c r="H11" i="1"/>
  <c r="H12" i="1"/>
  <c r="H4" i="1"/>
  <c r="I4" i="1" s="1"/>
  <c r="C4" i="1"/>
  <c r="C5" i="1" s="1"/>
  <c r="C6" i="1" s="1"/>
  <c r="C7" i="1" s="1"/>
  <c r="C8" i="1" s="1"/>
  <c r="C9" i="1" s="1"/>
  <c r="C10" i="1" s="1"/>
  <c r="C11" i="1" s="1"/>
  <c r="C12" i="1" s="1"/>
  <c r="P4" i="1"/>
  <c r="P5" i="1" s="1"/>
  <c r="P6" i="1" s="1"/>
  <c r="P15" i="1" s="1"/>
  <c r="P7" i="1" l="1"/>
  <c r="P8" i="1"/>
  <c r="I5" i="1"/>
  <c r="I6" i="1" s="1"/>
  <c r="I7" i="1" s="1"/>
  <c r="H22" i="1"/>
  <c r="K22" i="1"/>
  <c r="J22" i="1"/>
  <c r="T8" i="1"/>
  <c r="T7" i="1"/>
  <c r="T6" i="1"/>
  <c r="T5" i="1"/>
  <c r="V4" i="1"/>
  <c r="V7" i="1"/>
  <c r="R4" i="1"/>
  <c r="R8" i="1"/>
  <c r="R7" i="1"/>
  <c r="R6" i="1"/>
  <c r="R5" i="1"/>
  <c r="T4" i="1"/>
  <c r="V6" i="1"/>
  <c r="V5" i="1"/>
  <c r="I8" i="1" l="1"/>
  <c r="I9" i="1" s="1"/>
  <c r="I10" i="1" s="1"/>
  <c r="I11" i="1" s="1"/>
  <c r="I12" i="1" s="1"/>
  <c r="P9" i="1"/>
  <c r="P17" i="1"/>
  <c r="V8" i="1"/>
  <c r="P16" i="1"/>
  <c r="M20" i="1"/>
  <c r="P10" i="1" l="1"/>
  <c r="P18" i="1"/>
  <c r="V9" i="1"/>
  <c r="T9" i="1"/>
  <c r="R9" i="1"/>
  <c r="P11" i="1" l="1"/>
  <c r="P19" i="1"/>
  <c r="V10" i="1"/>
  <c r="R10" i="1"/>
  <c r="T10" i="1"/>
  <c r="P12" i="1" l="1"/>
  <c r="P20" i="1"/>
  <c r="V11" i="1"/>
  <c r="T11" i="1"/>
  <c r="R11" i="1"/>
  <c r="Q15" i="1"/>
  <c r="R12" i="1" l="1"/>
  <c r="P21" i="1"/>
  <c r="T12" i="1"/>
  <c r="V12" i="1"/>
  <c r="H17" i="1"/>
  <c r="Q18" i="1"/>
</calcChain>
</file>

<file path=xl/sharedStrings.xml><?xml version="1.0" encoding="utf-8"?>
<sst xmlns="http://schemas.openxmlformats.org/spreadsheetml/2006/main" count="33" uniqueCount="27">
  <si>
    <t>Длина проволоки</t>
  </si>
  <si>
    <t>Диаметр</t>
  </si>
  <si>
    <t>0,51 мм</t>
  </si>
  <si>
    <t>n, см</t>
  </si>
  <si>
    <t>расстояние</t>
  </si>
  <si>
    <t>174 см</t>
  </si>
  <si>
    <t>141 см</t>
  </si>
  <si>
    <t>сумма масс</t>
  </si>
  <si>
    <t>Добавленная масса, г</t>
  </si>
  <si>
    <t>Номер измерения</t>
  </si>
  <si>
    <t>Нагрузка P, Н</t>
  </si>
  <si>
    <t>Среднее dn</t>
  </si>
  <si>
    <t>Удлинение, см</t>
  </si>
  <si>
    <t>E</t>
  </si>
  <si>
    <t>dl/P</t>
  </si>
  <si>
    <t>k</t>
  </si>
  <si>
    <t>k1</t>
  </si>
  <si>
    <t>k2</t>
  </si>
  <si>
    <t>k3</t>
  </si>
  <si>
    <t>k4</t>
  </si>
  <si>
    <t>k ср</t>
  </si>
  <si>
    <t>погрешность</t>
  </si>
  <si>
    <t>ср у2</t>
  </si>
  <si>
    <t>ср2 у</t>
  </si>
  <si>
    <t>ср х2</t>
  </si>
  <si>
    <t>Погрешности:</t>
  </si>
  <si>
    <t>погрешность 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</si>
</sst>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Лист1!$P$3:$P$12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Лист1!$Q$3:$Q$12</c:f>
              <c:numCache>
                <c:formatCode>General</c:formatCode>
                <c:ptCount val="10"/>
                <c:pt idx="0">
                  <c:v>19.7</c:v>
                </c:pt>
                <c:pt idx="1">
                  <c:v>22.1</c:v>
                </c:pt>
                <c:pt idx="2">
                  <c:v>24</c:v>
                </c:pt>
                <c:pt idx="3">
                  <c:v>25.7</c:v>
                </c:pt>
                <c:pt idx="4">
                  <c:v>27.8</c:v>
                </c:pt>
                <c:pt idx="5">
                  <c:v>29.6</c:v>
                </c:pt>
                <c:pt idx="6">
                  <c:v>31.3</c:v>
                </c:pt>
                <c:pt idx="7">
                  <c:v>33</c:v>
                </c:pt>
                <c:pt idx="8">
                  <c:v>34.6</c:v>
                </c:pt>
                <c:pt idx="9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D-4DDB-89C8-2FBC9EBC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94015"/>
        <c:axId val="2015694495"/>
      </c:scatterChart>
      <c:valAx>
        <c:axId val="201569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694495"/>
        <c:crosses val="autoZero"/>
        <c:crossBetween val="midCat"/>
      </c:valAx>
      <c:valAx>
        <c:axId val="20156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69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Лист1!$R$3:$R$12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Лист1!$S$3:$S$12</c:f>
              <c:numCache>
                <c:formatCode>General</c:formatCode>
                <c:ptCount val="10"/>
                <c:pt idx="0">
                  <c:v>20.399999999999999</c:v>
                </c:pt>
                <c:pt idx="1">
                  <c:v>22.7</c:v>
                </c:pt>
                <c:pt idx="2">
                  <c:v>24.8</c:v>
                </c:pt>
                <c:pt idx="3">
                  <c:v>26.7</c:v>
                </c:pt>
                <c:pt idx="4">
                  <c:v>28.5</c:v>
                </c:pt>
                <c:pt idx="5">
                  <c:v>30.15</c:v>
                </c:pt>
                <c:pt idx="6">
                  <c:v>31.7</c:v>
                </c:pt>
                <c:pt idx="7">
                  <c:v>33.4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F9-4982-B01F-AA092DA2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83839"/>
        <c:axId val="1790777599"/>
      </c:scatterChart>
      <c:valAx>
        <c:axId val="179078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0777599"/>
        <c:crosses val="autoZero"/>
        <c:crossBetween val="midCat"/>
      </c:valAx>
      <c:valAx>
        <c:axId val="17907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078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Лист1!$T$3:$T$12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Лист1!$U$3:$U$12</c:f>
              <c:numCache>
                <c:formatCode>General</c:formatCode>
                <c:ptCount val="10"/>
                <c:pt idx="0">
                  <c:v>20.399999999999999</c:v>
                </c:pt>
                <c:pt idx="1">
                  <c:v>22.7</c:v>
                </c:pt>
                <c:pt idx="2">
                  <c:v>24.8</c:v>
                </c:pt>
                <c:pt idx="3">
                  <c:v>26.6</c:v>
                </c:pt>
                <c:pt idx="4">
                  <c:v>28.4</c:v>
                </c:pt>
                <c:pt idx="5">
                  <c:v>30</c:v>
                </c:pt>
                <c:pt idx="6">
                  <c:v>31.7</c:v>
                </c:pt>
                <c:pt idx="7">
                  <c:v>33.200000000000003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8-40D4-9A25-2FB3FC55B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502495"/>
        <c:axId val="1850292735"/>
      </c:scatterChart>
      <c:valAx>
        <c:axId val="185250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292735"/>
        <c:crosses val="autoZero"/>
        <c:crossBetween val="midCat"/>
      </c:valAx>
      <c:valAx>
        <c:axId val="18502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5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7753018372703417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Лист1!$V$3:$V$12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Лист1!$W$3:$W$12</c:f>
              <c:numCache>
                <c:formatCode>General</c:formatCode>
                <c:ptCount val="10"/>
                <c:pt idx="0">
                  <c:v>20.3</c:v>
                </c:pt>
                <c:pt idx="1">
                  <c:v>22.5</c:v>
                </c:pt>
                <c:pt idx="2">
                  <c:v>24.7</c:v>
                </c:pt>
                <c:pt idx="3">
                  <c:v>26.6</c:v>
                </c:pt>
                <c:pt idx="4">
                  <c:v>28.5</c:v>
                </c:pt>
                <c:pt idx="5">
                  <c:v>30.2</c:v>
                </c:pt>
                <c:pt idx="6">
                  <c:v>31.7</c:v>
                </c:pt>
                <c:pt idx="7">
                  <c:v>33.299999999999997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5D-49DA-88C5-CB069886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883535"/>
        <c:axId val="2048878255"/>
      </c:scatterChart>
      <c:valAx>
        <c:axId val="204888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8878255"/>
        <c:crosses val="autoZero"/>
        <c:crossBetween val="midCat"/>
      </c:valAx>
      <c:valAx>
        <c:axId val="20488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888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Лист1!$P$3:$P$12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Лист1!$Q$3:$Q$12</c:f>
              <c:numCache>
                <c:formatCode>General</c:formatCode>
                <c:ptCount val="10"/>
                <c:pt idx="0">
                  <c:v>19.7</c:v>
                </c:pt>
                <c:pt idx="1">
                  <c:v>22.1</c:v>
                </c:pt>
                <c:pt idx="2">
                  <c:v>24</c:v>
                </c:pt>
                <c:pt idx="3">
                  <c:v>25.7</c:v>
                </c:pt>
                <c:pt idx="4">
                  <c:v>27.8</c:v>
                </c:pt>
                <c:pt idx="5">
                  <c:v>29.6</c:v>
                </c:pt>
                <c:pt idx="6">
                  <c:v>31.3</c:v>
                </c:pt>
                <c:pt idx="7">
                  <c:v>33</c:v>
                </c:pt>
                <c:pt idx="8">
                  <c:v>34.6</c:v>
                </c:pt>
                <c:pt idx="9">
                  <c:v>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20-4EAA-9885-5CC85603D46C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Лист1!$R$3:$R$12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Лист1!$S$3:$S$12</c:f>
              <c:numCache>
                <c:formatCode>General</c:formatCode>
                <c:ptCount val="10"/>
                <c:pt idx="0">
                  <c:v>20.399999999999999</c:v>
                </c:pt>
                <c:pt idx="1">
                  <c:v>22.7</c:v>
                </c:pt>
                <c:pt idx="2">
                  <c:v>24.8</c:v>
                </c:pt>
                <c:pt idx="3">
                  <c:v>26.7</c:v>
                </c:pt>
                <c:pt idx="4">
                  <c:v>28.5</c:v>
                </c:pt>
                <c:pt idx="5">
                  <c:v>30.15</c:v>
                </c:pt>
                <c:pt idx="6">
                  <c:v>31.7</c:v>
                </c:pt>
                <c:pt idx="7">
                  <c:v>33.4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20-4EAA-9885-5CC85603D46C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Лист1!$T$3:$T$12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Лист1!$U$3:$U$12</c:f>
              <c:numCache>
                <c:formatCode>General</c:formatCode>
                <c:ptCount val="10"/>
                <c:pt idx="0">
                  <c:v>20.399999999999999</c:v>
                </c:pt>
                <c:pt idx="1">
                  <c:v>22.7</c:v>
                </c:pt>
                <c:pt idx="2">
                  <c:v>24.8</c:v>
                </c:pt>
                <c:pt idx="3">
                  <c:v>26.6</c:v>
                </c:pt>
                <c:pt idx="4">
                  <c:v>28.4</c:v>
                </c:pt>
                <c:pt idx="5">
                  <c:v>30</c:v>
                </c:pt>
                <c:pt idx="6">
                  <c:v>31.7</c:v>
                </c:pt>
                <c:pt idx="7">
                  <c:v>33.200000000000003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20-4EAA-9885-5CC85603D46C}"/>
            </c:ext>
          </c:extLst>
        </c:ser>
        <c:ser>
          <c:idx val="3"/>
          <c:order val="3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Лист1!$V$3:$V$12</c:f>
              <c:numCache>
                <c:formatCode>General</c:formatCode>
                <c:ptCount val="10"/>
                <c:pt idx="0">
                  <c:v>0</c:v>
                </c:pt>
                <c:pt idx="1">
                  <c:v>244.8</c:v>
                </c:pt>
                <c:pt idx="2">
                  <c:v>490</c:v>
                </c:pt>
                <c:pt idx="3">
                  <c:v>735.2</c:v>
                </c:pt>
                <c:pt idx="4">
                  <c:v>980.5</c:v>
                </c:pt>
                <c:pt idx="5">
                  <c:v>1225.4000000000001</c:v>
                </c:pt>
                <c:pt idx="6">
                  <c:v>1471.1000000000001</c:v>
                </c:pt>
                <c:pt idx="7">
                  <c:v>1716.6000000000001</c:v>
                </c:pt>
                <c:pt idx="8">
                  <c:v>1962.4</c:v>
                </c:pt>
                <c:pt idx="9">
                  <c:v>2208.3000000000002</c:v>
                </c:pt>
              </c:numCache>
            </c:numRef>
          </c:xVal>
          <c:yVal>
            <c:numRef>
              <c:f>Лист1!$W$3:$W$12</c:f>
              <c:numCache>
                <c:formatCode>General</c:formatCode>
                <c:ptCount val="10"/>
                <c:pt idx="0">
                  <c:v>20.3</c:v>
                </c:pt>
                <c:pt idx="1">
                  <c:v>22.5</c:v>
                </c:pt>
                <c:pt idx="2">
                  <c:v>24.7</c:v>
                </c:pt>
                <c:pt idx="3">
                  <c:v>26.6</c:v>
                </c:pt>
                <c:pt idx="4">
                  <c:v>28.5</c:v>
                </c:pt>
                <c:pt idx="5">
                  <c:v>30.2</c:v>
                </c:pt>
                <c:pt idx="6">
                  <c:v>31.7</c:v>
                </c:pt>
                <c:pt idx="7">
                  <c:v>33.299999999999997</c:v>
                </c:pt>
                <c:pt idx="8">
                  <c:v>34.9</c:v>
                </c:pt>
                <c:pt idx="9">
                  <c:v>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20-4EAA-9885-5CC85603D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860543"/>
        <c:axId val="1850136175"/>
      </c:scatterChart>
      <c:valAx>
        <c:axId val="19448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136175"/>
        <c:crosses val="autoZero"/>
        <c:crossBetween val="midCat"/>
      </c:valAx>
      <c:valAx>
        <c:axId val="18501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486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20</xdr:row>
      <xdr:rowOff>129540</xdr:rowOff>
    </xdr:from>
    <xdr:to>
      <xdr:col>4</xdr:col>
      <xdr:colOff>396240</xdr:colOff>
      <xdr:row>29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67699A-C2FF-272B-E3BF-60B9352D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678180</xdr:colOff>
      <xdr:row>24</xdr:row>
      <xdr:rowOff>91440</xdr:rowOff>
    </xdr:from>
    <xdr:to>
      <xdr:col>2</xdr:col>
      <xdr:colOff>792480</xdr:colOff>
      <xdr:row>34</xdr:row>
      <xdr:rowOff>80010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F17ACBB-56F5-3FE7-A1A4-24EEB2A1E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228600</xdr:colOff>
      <xdr:row>23</xdr:row>
      <xdr:rowOff>137160</xdr:rowOff>
    </xdr:from>
    <xdr:to>
      <xdr:col>4</xdr:col>
      <xdr:colOff>22860</xdr:colOff>
      <xdr:row>32</xdr:row>
      <xdr:rowOff>118110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F069EA7-0718-B9D9-C813-F74AC2DB2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22</xdr:row>
      <xdr:rowOff>7620</xdr:rowOff>
    </xdr:from>
    <xdr:to>
      <xdr:col>3</xdr:col>
      <xdr:colOff>541020</xdr:colOff>
      <xdr:row>32</xdr:row>
      <xdr:rowOff>125730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62D623F-9929-4EDC-85BF-FB9C6021B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609600</xdr:colOff>
      <xdr:row>23</xdr:row>
      <xdr:rowOff>76200</xdr:rowOff>
    </xdr:from>
    <xdr:to>
      <xdr:col>6</xdr:col>
      <xdr:colOff>144780</xdr:colOff>
      <xdr:row>37</xdr:row>
      <xdr:rowOff>53340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DE36A0B-ABBE-94E2-6F58-1B0426030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E167-5703-4724-AF66-4637FF7ED6E4}">
  <dimension ref="A1:W28"/>
  <sheetViews>
    <sheetView tabSelected="1" topLeftCell="E1" workbookViewId="0">
      <selection activeCell="H20" sqref="H20"/>
    </sheetView>
  </sheetViews>
  <sheetFormatPr defaultRowHeight="14.4" x14ac:dyDescent="0.3"/>
  <cols>
    <col min="1" max="1" width="16.77734375" bestFit="1" customWidth="1"/>
    <col min="2" max="2" width="20.109375" bestFit="1" customWidth="1"/>
    <col min="3" max="3" width="12.109375" bestFit="1" customWidth="1"/>
    <col min="7" max="7" width="13.109375" bestFit="1" customWidth="1"/>
    <col min="8" max="8" width="10.77734375" bestFit="1" customWidth="1"/>
    <col min="9" max="9" width="13.88671875" bestFit="1" customWidth="1"/>
    <col min="10" max="11" width="13.88671875" customWidth="1"/>
    <col min="12" max="12" width="16.44140625" bestFit="1" customWidth="1"/>
    <col min="15" max="15" width="10.88671875" bestFit="1" customWidth="1"/>
    <col min="16" max="16" width="11" bestFit="1" customWidth="1"/>
  </cols>
  <sheetData>
    <row r="1" spans="1:23" x14ac:dyDescent="0.3">
      <c r="A1" s="11" t="s">
        <v>9</v>
      </c>
      <c r="B1" s="9" t="s">
        <v>8</v>
      </c>
      <c r="C1" s="9" t="s">
        <v>10</v>
      </c>
      <c r="D1" s="10" t="s">
        <v>3</v>
      </c>
      <c r="E1" s="10"/>
      <c r="F1" s="10"/>
      <c r="G1" s="10"/>
      <c r="H1" s="9" t="s">
        <v>11</v>
      </c>
      <c r="I1" s="9" t="s">
        <v>12</v>
      </c>
      <c r="J1" s="9" t="s">
        <v>13</v>
      </c>
      <c r="K1" s="9" t="s">
        <v>14</v>
      </c>
      <c r="L1" s="1" t="s">
        <v>0</v>
      </c>
      <c r="O1" t="s">
        <v>4</v>
      </c>
      <c r="P1" t="s">
        <v>7</v>
      </c>
    </row>
    <row r="2" spans="1:23" x14ac:dyDescent="0.3">
      <c r="A2" s="11"/>
      <c r="B2" s="9"/>
      <c r="C2" s="9"/>
      <c r="D2" s="1">
        <v>1</v>
      </c>
      <c r="E2" s="1">
        <v>2</v>
      </c>
      <c r="F2" s="1">
        <v>3</v>
      </c>
      <c r="G2" s="1">
        <v>4</v>
      </c>
      <c r="H2" s="9"/>
      <c r="I2" s="9"/>
      <c r="J2" s="9"/>
      <c r="K2" s="9"/>
      <c r="L2" s="1"/>
      <c r="Q2" s="4">
        <v>1</v>
      </c>
      <c r="S2" s="5">
        <v>2</v>
      </c>
      <c r="U2" s="6">
        <v>3</v>
      </c>
      <c r="W2" s="7">
        <v>4</v>
      </c>
    </row>
    <row r="3" spans="1:23" x14ac:dyDescent="0.3">
      <c r="A3" s="1">
        <v>1</v>
      </c>
      <c r="B3" s="1">
        <v>0</v>
      </c>
      <c r="C3" s="1">
        <v>0</v>
      </c>
      <c r="D3" s="1">
        <v>19.7</v>
      </c>
      <c r="E3" s="1">
        <v>20.399999999999999</v>
      </c>
      <c r="F3" s="1">
        <v>20.399999999999999</v>
      </c>
      <c r="G3" s="1">
        <v>20.3</v>
      </c>
      <c r="H3" s="1">
        <v>0</v>
      </c>
      <c r="I3" s="1">
        <v>0</v>
      </c>
      <c r="J3" s="1"/>
      <c r="K3" s="1"/>
      <c r="L3" s="1" t="s">
        <v>5</v>
      </c>
      <c r="O3" t="s">
        <v>6</v>
      </c>
      <c r="P3">
        <v>0</v>
      </c>
      <c r="Q3">
        <v>19.7</v>
      </c>
      <c r="R3">
        <v>0</v>
      </c>
      <c r="S3">
        <v>20.399999999999999</v>
      </c>
      <c r="T3">
        <v>0</v>
      </c>
      <c r="U3">
        <v>20.399999999999999</v>
      </c>
      <c r="V3">
        <v>0</v>
      </c>
      <c r="W3">
        <v>20.3</v>
      </c>
    </row>
    <row r="4" spans="1:23" x14ac:dyDescent="0.3">
      <c r="A4" s="1">
        <v>2</v>
      </c>
      <c r="B4" s="1">
        <v>244.8</v>
      </c>
      <c r="C4" s="1">
        <f>C3+B4/100</f>
        <v>2.448</v>
      </c>
      <c r="D4" s="1">
        <v>22.1</v>
      </c>
      <c r="E4" s="1">
        <v>22.7</v>
      </c>
      <c r="F4" s="1">
        <v>22.7</v>
      </c>
      <c r="G4" s="1">
        <v>22.5</v>
      </c>
      <c r="H4" s="1">
        <f>AVERAGE(D4-D3, E4-E3, F4-F3, G4-G3)</f>
        <v>2.3000000000000007</v>
      </c>
      <c r="I4" s="1">
        <f>I3+H4</f>
        <v>2.3000000000000007</v>
      </c>
      <c r="J4" s="1"/>
      <c r="K4" s="1"/>
      <c r="L4" s="1"/>
      <c r="P4">
        <f t="shared" ref="P4:P12" si="0">P3+B4</f>
        <v>244.8</v>
      </c>
      <c r="Q4">
        <v>22.1</v>
      </c>
      <c r="R4">
        <f>P4</f>
        <v>244.8</v>
      </c>
      <c r="S4">
        <v>22.7</v>
      </c>
      <c r="T4">
        <f>P4</f>
        <v>244.8</v>
      </c>
      <c r="U4">
        <v>22.7</v>
      </c>
      <c r="V4">
        <f>P4</f>
        <v>244.8</v>
      </c>
      <c r="W4">
        <v>22.5</v>
      </c>
    </row>
    <row r="5" spans="1:23" x14ac:dyDescent="0.3">
      <c r="A5" s="1">
        <v>3</v>
      </c>
      <c r="B5" s="1">
        <v>245.2</v>
      </c>
      <c r="C5" s="1">
        <f t="shared" ref="C5:C12" si="1">C4+B5/100</f>
        <v>4.9000000000000004</v>
      </c>
      <c r="D5" s="1">
        <v>24</v>
      </c>
      <c r="E5" s="1">
        <v>24.8</v>
      </c>
      <c r="F5" s="1">
        <v>24.8</v>
      </c>
      <c r="G5" s="1">
        <v>24.7</v>
      </c>
      <c r="H5" s="1">
        <f t="shared" ref="H5:H12" si="2">AVERAGE(D5-D4, E5-E4, F5-F4, G5-G4)</f>
        <v>2.0750000000000002</v>
      </c>
      <c r="I5" s="1">
        <f t="shared" ref="I5:I12" si="3">I4+H5</f>
        <v>4.3750000000000009</v>
      </c>
      <c r="J5" s="1"/>
      <c r="K5" s="1"/>
      <c r="L5" s="1" t="s">
        <v>1</v>
      </c>
      <c r="P5">
        <f t="shared" si="0"/>
        <v>490</v>
      </c>
      <c r="Q5">
        <v>24</v>
      </c>
      <c r="R5">
        <f t="shared" ref="R5:R12" si="4">P5</f>
        <v>490</v>
      </c>
      <c r="S5">
        <v>24.8</v>
      </c>
      <c r="T5">
        <f t="shared" ref="T5:T12" si="5">P5</f>
        <v>490</v>
      </c>
      <c r="U5">
        <v>24.8</v>
      </c>
      <c r="V5">
        <f t="shared" ref="V5:V12" si="6">P5</f>
        <v>490</v>
      </c>
      <c r="W5">
        <v>24.7</v>
      </c>
    </row>
    <row r="6" spans="1:23" x14ac:dyDescent="0.3">
      <c r="A6" s="1">
        <v>4</v>
      </c>
      <c r="B6" s="1">
        <v>245.2</v>
      </c>
      <c r="C6" s="1">
        <f t="shared" si="1"/>
        <v>7.3520000000000003</v>
      </c>
      <c r="D6" s="1">
        <v>25.7</v>
      </c>
      <c r="E6" s="1">
        <v>26.7</v>
      </c>
      <c r="F6" s="1">
        <v>26.6</v>
      </c>
      <c r="G6" s="1">
        <v>26.6</v>
      </c>
      <c r="H6" s="1">
        <f t="shared" si="2"/>
        <v>1.8250000000000002</v>
      </c>
      <c r="I6" s="1">
        <f t="shared" si="3"/>
        <v>6.2000000000000011</v>
      </c>
      <c r="J6" s="1"/>
      <c r="K6" s="1"/>
      <c r="L6" s="1" t="s">
        <v>2</v>
      </c>
      <c r="P6">
        <f t="shared" si="0"/>
        <v>735.2</v>
      </c>
      <c r="Q6">
        <v>25.7</v>
      </c>
      <c r="R6">
        <f t="shared" si="4"/>
        <v>735.2</v>
      </c>
      <c r="S6">
        <v>26.7</v>
      </c>
      <c r="T6">
        <f t="shared" si="5"/>
        <v>735.2</v>
      </c>
      <c r="U6">
        <v>26.6</v>
      </c>
      <c r="V6">
        <f t="shared" si="6"/>
        <v>735.2</v>
      </c>
      <c r="W6">
        <v>26.6</v>
      </c>
    </row>
    <row r="7" spans="1:23" x14ac:dyDescent="0.3">
      <c r="A7" s="1">
        <v>5</v>
      </c>
      <c r="B7" s="1">
        <v>245.3</v>
      </c>
      <c r="C7" s="1">
        <f t="shared" si="1"/>
        <v>9.8049999999999997</v>
      </c>
      <c r="D7" s="1">
        <v>27.8</v>
      </c>
      <c r="E7" s="1">
        <v>28.5</v>
      </c>
      <c r="F7" s="1">
        <v>28.4</v>
      </c>
      <c r="G7" s="1">
        <v>28.5</v>
      </c>
      <c r="H7" s="1">
        <f t="shared" si="2"/>
        <v>1.8999999999999995</v>
      </c>
      <c r="I7" s="1">
        <f t="shared" si="3"/>
        <v>8.1000000000000014</v>
      </c>
      <c r="J7" s="1"/>
      <c r="K7" s="1"/>
      <c r="L7" s="1"/>
      <c r="P7">
        <f>P6+B7</f>
        <v>980.5</v>
      </c>
      <c r="Q7">
        <v>27.8</v>
      </c>
      <c r="R7">
        <f t="shared" si="4"/>
        <v>980.5</v>
      </c>
      <c r="S7">
        <v>28.5</v>
      </c>
      <c r="T7">
        <f t="shared" si="5"/>
        <v>980.5</v>
      </c>
      <c r="U7">
        <v>28.4</v>
      </c>
      <c r="V7">
        <f t="shared" si="6"/>
        <v>980.5</v>
      </c>
      <c r="W7">
        <v>28.5</v>
      </c>
    </row>
    <row r="8" spans="1:23" x14ac:dyDescent="0.3">
      <c r="A8" s="1">
        <v>6</v>
      </c>
      <c r="B8" s="1">
        <v>244.9</v>
      </c>
      <c r="C8" s="1">
        <f t="shared" si="1"/>
        <v>12.254</v>
      </c>
      <c r="D8" s="1">
        <v>29.6</v>
      </c>
      <c r="E8" s="1">
        <v>30.15</v>
      </c>
      <c r="F8" s="1">
        <v>30</v>
      </c>
      <c r="G8" s="1">
        <v>30.2</v>
      </c>
      <c r="H8" s="1">
        <f t="shared" si="2"/>
        <v>1.6875</v>
      </c>
      <c r="I8" s="1">
        <f t="shared" si="3"/>
        <v>9.7875000000000014</v>
      </c>
      <c r="J8" s="1"/>
      <c r="K8" s="1"/>
      <c r="L8" s="1"/>
      <c r="P8">
        <f t="shared" si="0"/>
        <v>1225.4000000000001</v>
      </c>
      <c r="Q8">
        <v>29.6</v>
      </c>
      <c r="R8">
        <f t="shared" si="4"/>
        <v>1225.4000000000001</v>
      </c>
      <c r="S8">
        <v>30.15</v>
      </c>
      <c r="T8">
        <f t="shared" si="5"/>
        <v>1225.4000000000001</v>
      </c>
      <c r="U8">
        <v>30</v>
      </c>
      <c r="V8">
        <f t="shared" si="6"/>
        <v>1225.4000000000001</v>
      </c>
      <c r="W8">
        <v>30.2</v>
      </c>
    </row>
    <row r="9" spans="1:23" x14ac:dyDescent="0.3">
      <c r="A9" s="1">
        <v>7</v>
      </c>
      <c r="B9" s="1">
        <v>245.7</v>
      </c>
      <c r="C9" s="1">
        <f t="shared" si="1"/>
        <v>14.710999999999999</v>
      </c>
      <c r="D9" s="1">
        <v>31.3</v>
      </c>
      <c r="E9" s="1">
        <v>31.7</v>
      </c>
      <c r="F9" s="1">
        <v>31.7</v>
      </c>
      <c r="G9" s="1">
        <v>31.7</v>
      </c>
      <c r="H9" s="1">
        <f t="shared" si="2"/>
        <v>1.6124999999999998</v>
      </c>
      <c r="I9" s="1">
        <f t="shared" si="3"/>
        <v>11.400000000000002</v>
      </c>
      <c r="J9" s="1"/>
      <c r="K9" s="1"/>
      <c r="L9" s="1"/>
      <c r="P9">
        <f t="shared" si="0"/>
        <v>1471.1000000000001</v>
      </c>
      <c r="Q9">
        <v>31.3</v>
      </c>
      <c r="R9">
        <f t="shared" si="4"/>
        <v>1471.1000000000001</v>
      </c>
      <c r="S9">
        <v>31.7</v>
      </c>
      <c r="T9">
        <f t="shared" si="5"/>
        <v>1471.1000000000001</v>
      </c>
      <c r="U9">
        <v>31.7</v>
      </c>
      <c r="V9">
        <f t="shared" si="6"/>
        <v>1471.1000000000001</v>
      </c>
      <c r="W9">
        <v>31.7</v>
      </c>
    </row>
    <row r="10" spans="1:23" x14ac:dyDescent="0.3">
      <c r="A10" s="1">
        <v>8</v>
      </c>
      <c r="B10" s="1">
        <v>245.5</v>
      </c>
      <c r="C10" s="1">
        <f t="shared" si="1"/>
        <v>17.165999999999997</v>
      </c>
      <c r="D10" s="1">
        <v>33</v>
      </c>
      <c r="E10" s="1">
        <v>33.4</v>
      </c>
      <c r="F10" s="1">
        <v>33.200000000000003</v>
      </c>
      <c r="G10" s="1">
        <v>33.299999999999997</v>
      </c>
      <c r="H10" s="1">
        <f t="shared" si="2"/>
        <v>1.625</v>
      </c>
      <c r="I10" s="1">
        <f t="shared" si="3"/>
        <v>13.025000000000002</v>
      </c>
      <c r="J10" s="1"/>
      <c r="K10" s="1"/>
      <c r="L10" s="1"/>
      <c r="P10">
        <f t="shared" si="0"/>
        <v>1716.6000000000001</v>
      </c>
      <c r="Q10">
        <v>33</v>
      </c>
      <c r="R10">
        <f t="shared" si="4"/>
        <v>1716.6000000000001</v>
      </c>
      <c r="S10">
        <v>33.4</v>
      </c>
      <c r="T10">
        <f t="shared" si="5"/>
        <v>1716.6000000000001</v>
      </c>
      <c r="U10">
        <v>33.200000000000003</v>
      </c>
      <c r="V10">
        <f t="shared" si="6"/>
        <v>1716.6000000000001</v>
      </c>
      <c r="W10">
        <v>33.299999999999997</v>
      </c>
    </row>
    <row r="11" spans="1:23" x14ac:dyDescent="0.3">
      <c r="A11" s="1">
        <v>9</v>
      </c>
      <c r="B11" s="1">
        <v>245.8</v>
      </c>
      <c r="C11" s="1">
        <f t="shared" si="1"/>
        <v>19.623999999999995</v>
      </c>
      <c r="D11" s="1">
        <v>34.6</v>
      </c>
      <c r="E11" s="1">
        <v>34.9</v>
      </c>
      <c r="F11" s="1">
        <v>34.9</v>
      </c>
      <c r="G11" s="1">
        <v>34.9</v>
      </c>
      <c r="H11" s="1">
        <f t="shared" si="2"/>
        <v>1.5999999999999996</v>
      </c>
      <c r="I11" s="1">
        <f t="shared" si="3"/>
        <v>14.625000000000002</v>
      </c>
      <c r="J11" s="1"/>
      <c r="K11" s="1"/>
      <c r="L11" s="1"/>
      <c r="P11">
        <f t="shared" si="0"/>
        <v>1962.4</v>
      </c>
      <c r="Q11">
        <v>34.6</v>
      </c>
      <c r="R11">
        <f t="shared" si="4"/>
        <v>1962.4</v>
      </c>
      <c r="S11">
        <v>34.9</v>
      </c>
      <c r="T11">
        <f t="shared" si="5"/>
        <v>1962.4</v>
      </c>
      <c r="U11">
        <v>34.9</v>
      </c>
      <c r="V11">
        <f t="shared" si="6"/>
        <v>1962.4</v>
      </c>
      <c r="W11">
        <v>34.9</v>
      </c>
    </row>
    <row r="12" spans="1:23" x14ac:dyDescent="0.3">
      <c r="A12" s="1">
        <v>10</v>
      </c>
      <c r="B12" s="1">
        <v>245.9</v>
      </c>
      <c r="C12" s="1">
        <f t="shared" si="1"/>
        <v>22.082999999999995</v>
      </c>
      <c r="D12" s="1">
        <v>36.4</v>
      </c>
      <c r="E12" s="1">
        <v>36.4</v>
      </c>
      <c r="F12" s="1">
        <v>36.4</v>
      </c>
      <c r="G12" s="1">
        <v>36.4</v>
      </c>
      <c r="H12" s="1">
        <f t="shared" si="2"/>
        <v>1.5749999999999993</v>
      </c>
      <c r="I12" s="1">
        <f t="shared" si="3"/>
        <v>16.200000000000003</v>
      </c>
      <c r="J12" s="1"/>
      <c r="K12" s="1"/>
      <c r="L12" s="1"/>
      <c r="P12">
        <f t="shared" si="0"/>
        <v>2208.3000000000002</v>
      </c>
      <c r="Q12">
        <v>36.4</v>
      </c>
      <c r="R12">
        <f t="shared" si="4"/>
        <v>2208.3000000000002</v>
      </c>
      <c r="S12">
        <v>36.4</v>
      </c>
      <c r="T12">
        <f t="shared" si="5"/>
        <v>2208.3000000000002</v>
      </c>
      <c r="U12">
        <v>36.4</v>
      </c>
      <c r="V12">
        <f t="shared" si="6"/>
        <v>2208.3000000000002</v>
      </c>
      <c r="W12">
        <v>36.4</v>
      </c>
    </row>
    <row r="14" spans="1:23" x14ac:dyDescent="0.3">
      <c r="P14" t="s">
        <v>22</v>
      </c>
      <c r="Q14" t="s">
        <v>23</v>
      </c>
      <c r="S14" s="4" t="s">
        <v>24</v>
      </c>
      <c r="T14" s="5" t="s">
        <v>24</v>
      </c>
      <c r="U14" s="6" t="s">
        <v>24</v>
      </c>
      <c r="V14" s="7" t="s">
        <v>24</v>
      </c>
    </row>
    <row r="15" spans="1:23" x14ac:dyDescent="0.3">
      <c r="P15">
        <f>P6^2</f>
        <v>540519.04</v>
      </c>
      <c r="Q15">
        <f>AVERAGE(P6:P12)^2</f>
        <v>2164891.8418367347</v>
      </c>
      <c r="S15" s="4">
        <f>Q7^2</f>
        <v>772.84</v>
      </c>
      <c r="T15" s="5">
        <f>S6^2</f>
        <v>712.89</v>
      </c>
      <c r="U15" s="6">
        <f>U6^2</f>
        <v>707.56000000000006</v>
      </c>
      <c r="V15" s="7">
        <f>W6^2</f>
        <v>707.56000000000006</v>
      </c>
    </row>
    <row r="16" spans="1:23" x14ac:dyDescent="0.3">
      <c r="H16" s="3" t="s">
        <v>15</v>
      </c>
      <c r="I16" s="3" t="s">
        <v>13</v>
      </c>
      <c r="K16" t="s">
        <v>20</v>
      </c>
      <c r="L16" t="s">
        <v>26</v>
      </c>
      <c r="P16">
        <f t="shared" ref="P16:P20" si="7">P7^2</f>
        <v>961380.25</v>
      </c>
      <c r="S16" s="4">
        <f t="shared" ref="S16:S20" si="8">Q8^2</f>
        <v>876.16000000000008</v>
      </c>
      <c r="T16" s="5">
        <f t="shared" ref="T16:T21" si="9">S7^2</f>
        <v>812.25</v>
      </c>
      <c r="U16" s="6">
        <f t="shared" ref="U16:U21" si="10">U7^2</f>
        <v>806.56</v>
      </c>
      <c r="V16" s="7">
        <f t="shared" ref="V16:V21" si="11">W7^2</f>
        <v>812.25</v>
      </c>
    </row>
    <row r="17" spans="7:22" x14ac:dyDescent="0.3">
      <c r="H17" s="3">
        <f>AVERAGE(I7*P7,I8*P8,I9*P9,I10*P10,I11*P11,I12*P12)/AVERAGE(I7^2,I8^2,I9^2,I10^2,I11^2,I12^2)/10</f>
        <v>13.179702474588751</v>
      </c>
      <c r="I17" s="3">
        <f>H17*9.8*1.74/0.204*1000000/10000000</f>
        <v>110.16680715523891</v>
      </c>
      <c r="K17">
        <f>AVERAGE(H20:K20)</f>
        <v>15.094712500000002</v>
      </c>
      <c r="L17">
        <f>AVERAGE(H21:K21)</f>
        <v>0.53397025000000009</v>
      </c>
      <c r="M17">
        <f>K17*9.8*1.74/0.204*1000000/10000000</f>
        <v>126.17403801470591</v>
      </c>
      <c r="P17">
        <f t="shared" si="7"/>
        <v>1501605.1600000001</v>
      </c>
      <c r="Q17" s="4" t="s">
        <v>23</v>
      </c>
      <c r="S17" s="4">
        <f t="shared" si="8"/>
        <v>979.69</v>
      </c>
      <c r="T17" s="5">
        <f t="shared" si="9"/>
        <v>909.02249999999992</v>
      </c>
      <c r="U17" s="6">
        <f t="shared" si="10"/>
        <v>900</v>
      </c>
      <c r="V17" s="7">
        <f t="shared" si="11"/>
        <v>912.04</v>
      </c>
    </row>
    <row r="18" spans="7:22" x14ac:dyDescent="0.3">
      <c r="P18">
        <f t="shared" si="7"/>
        <v>2164135.2100000004</v>
      </c>
      <c r="Q18" s="4">
        <f>AVERAGE(P7:P12)^2</f>
        <v>2540995.4024999999</v>
      </c>
      <c r="S18" s="4">
        <f t="shared" si="8"/>
        <v>1089</v>
      </c>
      <c r="T18" s="5">
        <f>S9^2</f>
        <v>1004.89</v>
      </c>
      <c r="U18" s="6">
        <f>U9^2</f>
        <v>1004.89</v>
      </c>
      <c r="V18" s="7">
        <f t="shared" si="11"/>
        <v>1004.89</v>
      </c>
    </row>
    <row r="19" spans="7:22" x14ac:dyDescent="0.3">
      <c r="H19" s="4" t="s">
        <v>16</v>
      </c>
      <c r="I19" s="5" t="s">
        <v>17</v>
      </c>
      <c r="J19" s="6" t="s">
        <v>18</v>
      </c>
      <c r="K19" s="7" t="s">
        <v>19</v>
      </c>
      <c r="L19" t="s">
        <v>20</v>
      </c>
      <c r="M19" t="s">
        <v>21</v>
      </c>
      <c r="P19">
        <f t="shared" si="7"/>
        <v>2946715.5600000005</v>
      </c>
      <c r="S19" s="4">
        <f t="shared" si="8"/>
        <v>1197.1600000000001</v>
      </c>
      <c r="T19" s="5">
        <f t="shared" si="9"/>
        <v>1115.56</v>
      </c>
      <c r="U19" s="6">
        <f t="shared" si="10"/>
        <v>1102.2400000000002</v>
      </c>
      <c r="V19" s="7">
        <f>W10^2</f>
        <v>1108.8899999999999</v>
      </c>
    </row>
    <row r="20" spans="7:22" x14ac:dyDescent="0.3">
      <c r="H20" s="4">
        <v>14.941000000000001</v>
      </c>
      <c r="I20" s="5">
        <v>15.213800000000001</v>
      </c>
      <c r="J20" s="6">
        <v>15.067550000000001</v>
      </c>
      <c r="K20" s="7">
        <v>15.156499999999999</v>
      </c>
      <c r="L20">
        <f>AVERAGE(H20:K20)</f>
        <v>15.094712500000002</v>
      </c>
      <c r="M20">
        <f>SQRT(SUM(H22:K22)/12)</f>
        <v>5.9417212626056343E-2</v>
      </c>
      <c r="P20">
        <f t="shared" si="7"/>
        <v>3851013.7600000002</v>
      </c>
      <c r="S20" s="4">
        <f t="shared" si="8"/>
        <v>1324.9599999999998</v>
      </c>
      <c r="T20" s="5">
        <f t="shared" si="9"/>
        <v>1218.01</v>
      </c>
      <c r="U20" s="6">
        <f t="shared" si="10"/>
        <v>1218.01</v>
      </c>
      <c r="V20" s="7">
        <f t="shared" si="11"/>
        <v>1218.01</v>
      </c>
    </row>
    <row r="21" spans="7:22" x14ac:dyDescent="0.3">
      <c r="G21" t="s">
        <v>25</v>
      </c>
      <c r="H21" s="4">
        <v>1.63229</v>
      </c>
      <c r="I21" s="5">
        <v>0.16515099999999999</v>
      </c>
      <c r="J21" s="6">
        <v>0.13289100000000001</v>
      </c>
      <c r="K21" s="7">
        <v>0.20554900000000001</v>
      </c>
      <c r="P21">
        <f>P12^2</f>
        <v>4876588.8900000006</v>
      </c>
      <c r="S21" s="4"/>
      <c r="T21" s="5">
        <f t="shared" si="9"/>
        <v>1324.9599999999998</v>
      </c>
      <c r="U21" s="6">
        <f t="shared" si="10"/>
        <v>1324.9599999999998</v>
      </c>
      <c r="V21" s="7">
        <f t="shared" si="11"/>
        <v>1324.9599999999998</v>
      </c>
    </row>
    <row r="22" spans="7:22" x14ac:dyDescent="0.3">
      <c r="H22" s="4">
        <f>(H20-$L$20)^2</f>
        <v>2.3627532656250318E-2</v>
      </c>
      <c r="I22" s="5">
        <f t="shared" ref="I22:J22" si="12">(I20-$L$20)^2</f>
        <v>1.4181832656249791E-2</v>
      </c>
      <c r="J22" s="6">
        <f t="shared" si="12"/>
        <v>7.3780140625005915E-4</v>
      </c>
      <c r="K22" s="7">
        <f>(K20-$L$20)^2</f>
        <v>3.8176951562497114E-3</v>
      </c>
      <c r="P22" s="8">
        <f>AVERAGE(P15:P21)</f>
        <v>2405993.9814285715</v>
      </c>
      <c r="Q22" s="8"/>
      <c r="R22" s="8"/>
      <c r="S22" s="8">
        <f>AVERAGE(S15:S20)</f>
        <v>1039.9683333333335</v>
      </c>
      <c r="T22" s="8">
        <f>AVERAGE(T15:T21)</f>
        <v>1013.9403571428571</v>
      </c>
      <c r="U22" s="8">
        <f t="shared" ref="U22" si="13">AVERAGE(U15:U21)</f>
        <v>1009.1742857142857</v>
      </c>
      <c r="V22" s="8">
        <f>AVERAGE(V15:V21)</f>
        <v>1012.6571428571427</v>
      </c>
    </row>
    <row r="23" spans="7:22" x14ac:dyDescent="0.3">
      <c r="P23" s="4">
        <f>AVERAGE(P16:P21)</f>
        <v>2716906.4716666671</v>
      </c>
      <c r="S23" s="4">
        <f>AVERAGE(Q7:Q12)^2</f>
        <v>1031.4802777777777</v>
      </c>
      <c r="T23" s="5">
        <f>AVERAGE(S6:S12)^2</f>
        <v>1003.5318877551019</v>
      </c>
      <c r="U23" s="6">
        <f>AVERAGE(U6:U12)^2</f>
        <v>998.56000000000006</v>
      </c>
      <c r="V23" s="7">
        <f>AVERAGE(W6:W12)^2</f>
        <v>1002.1746938775514</v>
      </c>
    </row>
    <row r="24" spans="7:22" x14ac:dyDescent="0.3">
      <c r="K24" s="2"/>
      <c r="L24" s="2"/>
      <c r="M24" s="2"/>
      <c r="N24" s="2"/>
    </row>
    <row r="25" spans="7:22" x14ac:dyDescent="0.3">
      <c r="K25" s="2"/>
      <c r="L25" s="2"/>
      <c r="M25" s="2"/>
      <c r="N25" s="2"/>
    </row>
    <row r="26" spans="7:22" x14ac:dyDescent="0.3">
      <c r="K26" s="2"/>
      <c r="L26" s="2"/>
      <c r="M26" s="2"/>
      <c r="N26" s="2"/>
    </row>
    <row r="27" spans="7:22" x14ac:dyDescent="0.3">
      <c r="K27" s="2"/>
      <c r="L27" s="2"/>
      <c r="M27" s="2"/>
      <c r="N27" s="2"/>
    </row>
    <row r="28" spans="7:22" x14ac:dyDescent="0.3">
      <c r="K28" s="2"/>
      <c r="L28" s="2"/>
      <c r="M28" s="2"/>
      <c r="N28" s="2"/>
    </row>
  </sheetData>
  <mergeCells count="8">
    <mergeCell ref="I1:I2"/>
    <mergeCell ref="J1:J2"/>
    <mergeCell ref="K1:K2"/>
    <mergeCell ref="D1:G1"/>
    <mergeCell ref="A1:A2"/>
    <mergeCell ref="B1:B2"/>
    <mergeCell ref="C1:C2"/>
    <mergeCell ref="H1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2024-09-26T07:23:59Z</dcterms:created>
  <dcterms:modified xsi:type="dcterms:W3CDTF">2024-10-01T21:30:36Z</dcterms:modified>
</cp:coreProperties>
</file>