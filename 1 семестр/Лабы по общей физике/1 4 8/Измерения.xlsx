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1 4 8\"/>
    </mc:Choice>
  </mc:AlternateContent>
  <xr:revisionPtr revIDLastSave="0" documentId="13_ncr:1_{406F8D50-668D-4D32-812B-FB5BB2DC6F87}" xr6:coauthVersionLast="47" xr6:coauthVersionMax="47" xr10:uidLastSave="{00000000-0000-0000-0000-000000000000}"/>
  <bookViews>
    <workbookView xWindow="11424" yWindow="0" windowWidth="11712" windowHeight="13776" firstSheet="1" activeTab="2" xr2:uid="{B75D144C-F4FB-43A4-9F23-960C943E1150}"/>
  </bookViews>
  <sheets>
    <sheet name="Частоты" sheetId="1" r:id="rId1"/>
    <sheet name="Плотность" sheetId="2" r:id="rId2"/>
    <sheet name="Добротность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3" l="1"/>
  <c r="F16" i="1"/>
  <c r="F17" i="1"/>
  <c r="F18" i="1"/>
  <c r="F19" i="1"/>
  <c r="F20" i="1"/>
  <c r="F21" i="1"/>
  <c r="F15" i="1"/>
  <c r="D16" i="1"/>
  <c r="D17" i="1"/>
  <c r="D18" i="1"/>
  <c r="D19" i="1"/>
  <c r="D20" i="1"/>
  <c r="D21" i="1"/>
  <c r="D15" i="1"/>
  <c r="A16" i="1"/>
  <c r="A17" i="1"/>
  <c r="A18" i="1"/>
  <c r="A19" i="1"/>
  <c r="A20" i="1"/>
  <c r="A21" i="1"/>
  <c r="A15" i="1"/>
  <c r="B16" i="1"/>
  <c r="B17" i="1"/>
  <c r="B18" i="1"/>
  <c r="B19" i="1"/>
  <c r="B20" i="1"/>
  <c r="B21" i="1"/>
  <c r="B15" i="1"/>
  <c r="F13" i="1"/>
  <c r="D13" i="1"/>
  <c r="B13" i="1"/>
  <c r="O2" i="2"/>
  <c r="O3" i="2"/>
  <c r="O4" i="2"/>
  <c r="O5" i="2"/>
  <c r="O6" i="2"/>
  <c r="O7" i="2"/>
  <c r="O8" i="2"/>
  <c r="O1" i="2"/>
  <c r="J1" i="2"/>
  <c r="J3" i="2"/>
  <c r="J2" i="2"/>
  <c r="J4" i="2"/>
  <c r="J5" i="2"/>
  <c r="J6" i="2"/>
  <c r="J7" i="2"/>
  <c r="J8" i="2"/>
  <c r="E2" i="2"/>
  <c r="E10" i="2"/>
  <c r="C11" i="2"/>
  <c r="D11" i="2"/>
  <c r="E11" i="2" s="1"/>
  <c r="B11" i="2"/>
  <c r="E3" i="2"/>
  <c r="E4" i="2"/>
  <c r="E5" i="2"/>
  <c r="E6" i="2"/>
  <c r="E7" i="2"/>
  <c r="E8" i="2"/>
  <c r="E9" i="2"/>
</calcChain>
</file>

<file path=xl/sharedStrings.xml><?xml version="1.0" encoding="utf-8"?>
<sst xmlns="http://schemas.openxmlformats.org/spreadsheetml/2006/main" count="14" uniqueCount="12">
  <si>
    <t>медный</t>
  </si>
  <si>
    <t>медь</t>
  </si>
  <si>
    <t>сталь</t>
  </si>
  <si>
    <t>дюралюминий</t>
  </si>
  <si>
    <t>резонанс</t>
  </si>
  <si>
    <t>добротность</t>
  </si>
  <si>
    <t>диаметр, мм</t>
  </si>
  <si>
    <t>длина, см</t>
  </si>
  <si>
    <t>масса, г</t>
  </si>
  <si>
    <t>Плотность</t>
  </si>
  <si>
    <t>погрешность к</t>
  </si>
  <si>
    <t>погрешность скорости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</si>
</sst>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Частоты!$A$2:$A$8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Частоты!$B$2:$B$8</c:f>
              <c:numCache>
                <c:formatCode>General</c:formatCode>
                <c:ptCount val="7"/>
                <c:pt idx="0">
                  <c:v>3250.6</c:v>
                </c:pt>
                <c:pt idx="1">
                  <c:v>6483.2</c:v>
                </c:pt>
                <c:pt idx="2">
                  <c:v>9740</c:v>
                </c:pt>
                <c:pt idx="3">
                  <c:v>12972</c:v>
                </c:pt>
                <c:pt idx="4">
                  <c:v>16512</c:v>
                </c:pt>
                <c:pt idx="5">
                  <c:v>19669</c:v>
                </c:pt>
                <c:pt idx="6">
                  <c:v>22753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4A-4AA9-97EA-826D17C0F36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Частоты!$D$2:$D$8</c:f>
              <c:numCache>
                <c:formatCode>General</c:formatCode>
                <c:ptCount val="7"/>
                <c:pt idx="0">
                  <c:v>4126.5</c:v>
                </c:pt>
                <c:pt idx="1">
                  <c:v>8263</c:v>
                </c:pt>
                <c:pt idx="2">
                  <c:v>12391</c:v>
                </c:pt>
                <c:pt idx="3">
                  <c:v>16515</c:v>
                </c:pt>
                <c:pt idx="4">
                  <c:v>20644</c:v>
                </c:pt>
                <c:pt idx="5">
                  <c:v>24758</c:v>
                </c:pt>
                <c:pt idx="6">
                  <c:v>28887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4A-4AA9-97EA-826D17C0F36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Частоты!$F$2:$F$8</c:f>
              <c:numCache>
                <c:formatCode>General</c:formatCode>
                <c:ptCount val="7"/>
                <c:pt idx="0">
                  <c:v>4255</c:v>
                </c:pt>
                <c:pt idx="1">
                  <c:v>8513.4</c:v>
                </c:pt>
                <c:pt idx="2">
                  <c:v>12767</c:v>
                </c:pt>
                <c:pt idx="3">
                  <c:v>17021</c:v>
                </c:pt>
                <c:pt idx="4">
                  <c:v>21278</c:v>
                </c:pt>
                <c:pt idx="5">
                  <c:v>25491</c:v>
                </c:pt>
                <c:pt idx="6">
                  <c:v>29746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E4A-4AA9-97EA-826D17C0F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847231"/>
        <c:axId val="1021852031"/>
      </c:scatterChart>
      <c:valAx>
        <c:axId val="102184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852031"/>
        <c:crosses val="autoZero"/>
        <c:crossBetween val="midCat"/>
      </c:valAx>
      <c:valAx>
        <c:axId val="102185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84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Добротность!$M$1:$M$16</c:f>
              <c:numCache>
                <c:formatCode>General</c:formatCode>
                <c:ptCount val="16"/>
                <c:pt idx="0">
                  <c:v>8</c:v>
                </c:pt>
                <c:pt idx="1">
                  <c:v>7.8</c:v>
                </c:pt>
                <c:pt idx="2">
                  <c:v>7.6</c:v>
                </c:pt>
                <c:pt idx="3">
                  <c:v>7.4</c:v>
                </c:pt>
                <c:pt idx="4">
                  <c:v>7.2</c:v>
                </c:pt>
                <c:pt idx="5">
                  <c:v>7</c:v>
                </c:pt>
                <c:pt idx="6">
                  <c:v>6.8</c:v>
                </c:pt>
                <c:pt idx="7">
                  <c:v>6.6</c:v>
                </c:pt>
                <c:pt idx="8">
                  <c:v>6.4</c:v>
                </c:pt>
                <c:pt idx="9">
                  <c:v>6.2</c:v>
                </c:pt>
                <c:pt idx="10">
                  <c:v>6</c:v>
                </c:pt>
                <c:pt idx="11">
                  <c:v>5.8</c:v>
                </c:pt>
                <c:pt idx="12">
                  <c:v>5.6</c:v>
                </c:pt>
                <c:pt idx="13">
                  <c:v>5.4</c:v>
                </c:pt>
                <c:pt idx="14">
                  <c:v>5.2</c:v>
                </c:pt>
                <c:pt idx="15">
                  <c:v>5</c:v>
                </c:pt>
              </c:numCache>
            </c:numRef>
          </c:xVal>
          <c:yVal>
            <c:numRef>
              <c:f>Добротность!$L$1:$L$16</c:f>
              <c:numCache>
                <c:formatCode>General</c:formatCode>
                <c:ptCount val="16"/>
                <c:pt idx="0">
                  <c:v>4253.12</c:v>
                </c:pt>
                <c:pt idx="1">
                  <c:v>4253.0600000000004</c:v>
                </c:pt>
                <c:pt idx="2">
                  <c:v>4253.01</c:v>
                </c:pt>
                <c:pt idx="3">
                  <c:v>4252.96</c:v>
                </c:pt>
                <c:pt idx="4">
                  <c:v>4252.87</c:v>
                </c:pt>
                <c:pt idx="5">
                  <c:v>4252.8100000000004</c:v>
                </c:pt>
                <c:pt idx="6">
                  <c:v>4252.72</c:v>
                </c:pt>
                <c:pt idx="7">
                  <c:v>4252.66</c:v>
                </c:pt>
                <c:pt idx="8">
                  <c:v>4252.54</c:v>
                </c:pt>
                <c:pt idx="9">
                  <c:v>4252.46</c:v>
                </c:pt>
                <c:pt idx="10">
                  <c:v>4252.3900000000003</c:v>
                </c:pt>
                <c:pt idx="11">
                  <c:v>4252.28</c:v>
                </c:pt>
                <c:pt idx="12">
                  <c:v>4252.1400000000003</c:v>
                </c:pt>
                <c:pt idx="13">
                  <c:v>4252.07</c:v>
                </c:pt>
                <c:pt idx="14">
                  <c:v>4251.93</c:v>
                </c:pt>
                <c:pt idx="15">
                  <c:v>4251.83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DD-4420-BFD6-4A795A67F53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Добротность!$M$1:$M$16</c:f>
              <c:numCache>
                <c:formatCode>General</c:formatCode>
                <c:ptCount val="16"/>
                <c:pt idx="0">
                  <c:v>8</c:v>
                </c:pt>
                <c:pt idx="1">
                  <c:v>7.8</c:v>
                </c:pt>
                <c:pt idx="2">
                  <c:v>7.6</c:v>
                </c:pt>
                <c:pt idx="3">
                  <c:v>7.4</c:v>
                </c:pt>
                <c:pt idx="4">
                  <c:v>7.2</c:v>
                </c:pt>
                <c:pt idx="5">
                  <c:v>7</c:v>
                </c:pt>
                <c:pt idx="6">
                  <c:v>6.8</c:v>
                </c:pt>
                <c:pt idx="7">
                  <c:v>6.6</c:v>
                </c:pt>
                <c:pt idx="8">
                  <c:v>6.4</c:v>
                </c:pt>
                <c:pt idx="9">
                  <c:v>6.2</c:v>
                </c:pt>
                <c:pt idx="10">
                  <c:v>6</c:v>
                </c:pt>
                <c:pt idx="11">
                  <c:v>5.8</c:v>
                </c:pt>
                <c:pt idx="12">
                  <c:v>5.6</c:v>
                </c:pt>
                <c:pt idx="13">
                  <c:v>5.4</c:v>
                </c:pt>
                <c:pt idx="14">
                  <c:v>5.2</c:v>
                </c:pt>
                <c:pt idx="15">
                  <c:v>5</c:v>
                </c:pt>
              </c:numCache>
            </c:numRef>
          </c:xVal>
          <c:yVal>
            <c:numRef>
              <c:f>Добротность!$O$1:$O$16</c:f>
              <c:numCache>
                <c:formatCode>General</c:formatCode>
                <c:ptCount val="16"/>
                <c:pt idx="0">
                  <c:v>4256.2</c:v>
                </c:pt>
                <c:pt idx="1">
                  <c:v>4256.25</c:v>
                </c:pt>
                <c:pt idx="2">
                  <c:v>4256.3</c:v>
                </c:pt>
                <c:pt idx="3">
                  <c:v>4256.3599999999997</c:v>
                </c:pt>
                <c:pt idx="4">
                  <c:v>4256.46</c:v>
                </c:pt>
                <c:pt idx="5">
                  <c:v>4256.53</c:v>
                </c:pt>
                <c:pt idx="6">
                  <c:v>4256.6000000000004</c:v>
                </c:pt>
                <c:pt idx="7">
                  <c:v>4256.6499999999996</c:v>
                </c:pt>
                <c:pt idx="8">
                  <c:v>4256.76</c:v>
                </c:pt>
                <c:pt idx="9">
                  <c:v>4256.8</c:v>
                </c:pt>
                <c:pt idx="10">
                  <c:v>4256.8999999999996</c:v>
                </c:pt>
                <c:pt idx="11">
                  <c:v>4257.03</c:v>
                </c:pt>
                <c:pt idx="12">
                  <c:v>4257.1099999999997</c:v>
                </c:pt>
                <c:pt idx="13">
                  <c:v>4257.21</c:v>
                </c:pt>
                <c:pt idx="14">
                  <c:v>4257.3500000000004</c:v>
                </c:pt>
                <c:pt idx="15">
                  <c:v>4257.46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DD-4420-BFD6-4A795A67F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606223"/>
        <c:axId val="11746076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Добротность!$L$1:$L$16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4253.12</c:v>
                      </c:pt>
                      <c:pt idx="1">
                        <c:v>4253.0600000000004</c:v>
                      </c:pt>
                      <c:pt idx="2">
                        <c:v>4253.01</c:v>
                      </c:pt>
                      <c:pt idx="3">
                        <c:v>4252.96</c:v>
                      </c:pt>
                      <c:pt idx="4">
                        <c:v>4252.87</c:v>
                      </c:pt>
                      <c:pt idx="5">
                        <c:v>4252.8100000000004</c:v>
                      </c:pt>
                      <c:pt idx="6">
                        <c:v>4252.72</c:v>
                      </c:pt>
                      <c:pt idx="7">
                        <c:v>4252.66</c:v>
                      </c:pt>
                      <c:pt idx="8">
                        <c:v>4252.54</c:v>
                      </c:pt>
                      <c:pt idx="9">
                        <c:v>4252.46</c:v>
                      </c:pt>
                      <c:pt idx="10">
                        <c:v>4252.3900000000003</c:v>
                      </c:pt>
                      <c:pt idx="11">
                        <c:v>4252.28</c:v>
                      </c:pt>
                      <c:pt idx="12">
                        <c:v>4252.1400000000003</c:v>
                      </c:pt>
                      <c:pt idx="13">
                        <c:v>4252.07</c:v>
                      </c:pt>
                      <c:pt idx="14">
                        <c:v>4251.93</c:v>
                      </c:pt>
                      <c:pt idx="15">
                        <c:v>4251.83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Добротность!$M$1:$M$16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8</c:v>
                      </c:pt>
                      <c:pt idx="1">
                        <c:v>7.8</c:v>
                      </c:pt>
                      <c:pt idx="2">
                        <c:v>7.6</c:v>
                      </c:pt>
                      <c:pt idx="3">
                        <c:v>7.4</c:v>
                      </c:pt>
                      <c:pt idx="4">
                        <c:v>7.2</c:v>
                      </c:pt>
                      <c:pt idx="5">
                        <c:v>7</c:v>
                      </c:pt>
                      <c:pt idx="6">
                        <c:v>6.8</c:v>
                      </c:pt>
                      <c:pt idx="7">
                        <c:v>6.6</c:v>
                      </c:pt>
                      <c:pt idx="8">
                        <c:v>6.4</c:v>
                      </c:pt>
                      <c:pt idx="9">
                        <c:v>6.2</c:v>
                      </c:pt>
                      <c:pt idx="10">
                        <c:v>6</c:v>
                      </c:pt>
                      <c:pt idx="11">
                        <c:v>5.8</c:v>
                      </c:pt>
                      <c:pt idx="12">
                        <c:v>5.6</c:v>
                      </c:pt>
                      <c:pt idx="13">
                        <c:v>5.4</c:v>
                      </c:pt>
                      <c:pt idx="14">
                        <c:v>5.2</c:v>
                      </c:pt>
                      <c:pt idx="15">
                        <c:v>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FDD-4420-BFD6-4A795A67F53A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Добротность!$O$1:$O$16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4256.2</c:v>
                      </c:pt>
                      <c:pt idx="1">
                        <c:v>4256.25</c:v>
                      </c:pt>
                      <c:pt idx="2">
                        <c:v>4256.3</c:v>
                      </c:pt>
                      <c:pt idx="3">
                        <c:v>4256.3599999999997</c:v>
                      </c:pt>
                      <c:pt idx="4">
                        <c:v>4256.46</c:v>
                      </c:pt>
                      <c:pt idx="5">
                        <c:v>4256.53</c:v>
                      </c:pt>
                      <c:pt idx="6">
                        <c:v>4256.6000000000004</c:v>
                      </c:pt>
                      <c:pt idx="7">
                        <c:v>4256.6499999999996</c:v>
                      </c:pt>
                      <c:pt idx="8">
                        <c:v>4256.76</c:v>
                      </c:pt>
                      <c:pt idx="9">
                        <c:v>4256.8</c:v>
                      </c:pt>
                      <c:pt idx="10">
                        <c:v>4256.8999999999996</c:v>
                      </c:pt>
                      <c:pt idx="11">
                        <c:v>4257.03</c:v>
                      </c:pt>
                      <c:pt idx="12">
                        <c:v>4257.1099999999997</c:v>
                      </c:pt>
                      <c:pt idx="13">
                        <c:v>4257.21</c:v>
                      </c:pt>
                      <c:pt idx="14">
                        <c:v>4257.3500000000004</c:v>
                      </c:pt>
                      <c:pt idx="15">
                        <c:v>4257.46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FDD-4420-BFD6-4A795A67F53A}"/>
                  </c:ext>
                </c:extLst>
              </c15:ser>
            </c15:filteredScatterSeries>
          </c:ext>
        </c:extLst>
      </c:scatterChart>
      <c:valAx>
        <c:axId val="117460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4607663"/>
        <c:crosses val="autoZero"/>
        <c:crossBetween val="midCat"/>
      </c:valAx>
      <c:valAx>
        <c:axId val="117460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460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4</xdr:row>
      <xdr:rowOff>30480</xdr:rowOff>
    </xdr:from>
    <xdr:to>
      <xdr:col>18</xdr:col>
      <xdr:colOff>175260</xdr:colOff>
      <xdr:row>22</xdr:row>
      <xdr:rowOff>148590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17F28A7-BB63-4A84-E767-27E03DECC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3</xdr:row>
      <xdr:rowOff>57150</xdr:rowOff>
    </xdr:from>
    <xdr:to>
      <xdr:col>25</xdr:col>
      <xdr:colOff>472440</xdr:colOff>
      <xdr:row>18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4DEBC1-710E-1444-6543-94C8493DE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A037-7DA4-4533-850B-3F30FD7060A5}">
  <dimension ref="A1:F28"/>
  <sheetViews>
    <sheetView workbookViewId="0">
      <selection activeCell="F28" sqref="F28"/>
    </sheetView>
  </sheetViews>
  <sheetFormatPr defaultRowHeight="14.4" x14ac:dyDescent="0.3"/>
  <cols>
    <col min="2" max="2" width="11" bestFit="1" customWidth="1"/>
    <col min="4" max="4" width="11" bestFit="1" customWidth="1"/>
  </cols>
  <sheetData>
    <row r="1" spans="1:6" x14ac:dyDescent="0.3">
      <c r="B1" t="s">
        <v>0</v>
      </c>
      <c r="D1" t="s">
        <v>2</v>
      </c>
      <c r="F1" t="s">
        <v>3</v>
      </c>
    </row>
    <row r="2" spans="1:6" x14ac:dyDescent="0.3">
      <c r="A2">
        <v>1</v>
      </c>
      <c r="B2">
        <v>3250.6</v>
      </c>
      <c r="D2">
        <v>4126.5</v>
      </c>
      <c r="F2">
        <v>4255</v>
      </c>
    </row>
    <row r="3" spans="1:6" x14ac:dyDescent="0.3">
      <c r="A3">
        <v>2</v>
      </c>
      <c r="B3">
        <v>6483.2</v>
      </c>
      <c r="D3">
        <v>8263</v>
      </c>
      <c r="F3">
        <v>8513.4</v>
      </c>
    </row>
    <row r="4" spans="1:6" x14ac:dyDescent="0.3">
      <c r="A4">
        <v>3</v>
      </c>
      <c r="B4">
        <v>9740</v>
      </c>
      <c r="D4">
        <v>12391</v>
      </c>
      <c r="F4">
        <v>12767</v>
      </c>
    </row>
    <row r="5" spans="1:6" x14ac:dyDescent="0.3">
      <c r="A5">
        <v>4</v>
      </c>
      <c r="B5">
        <v>12972</v>
      </c>
      <c r="D5">
        <v>16515</v>
      </c>
      <c r="F5">
        <v>17021</v>
      </c>
    </row>
    <row r="6" spans="1:6" x14ac:dyDescent="0.3">
      <c r="A6">
        <v>5</v>
      </c>
      <c r="B6">
        <v>16512</v>
      </c>
      <c r="D6">
        <v>20644</v>
      </c>
      <c r="F6">
        <v>21278</v>
      </c>
    </row>
    <row r="7" spans="1:6" x14ac:dyDescent="0.3">
      <c r="A7">
        <v>6</v>
      </c>
      <c r="B7">
        <v>19669</v>
      </c>
      <c r="D7">
        <v>24758</v>
      </c>
      <c r="F7">
        <v>25491</v>
      </c>
    </row>
    <row r="8" spans="1:6" x14ac:dyDescent="0.3">
      <c r="A8">
        <v>7</v>
      </c>
      <c r="B8">
        <v>22753</v>
      </c>
      <c r="D8">
        <v>28887</v>
      </c>
      <c r="F8">
        <v>29746</v>
      </c>
    </row>
    <row r="13" spans="1:6" x14ac:dyDescent="0.3">
      <c r="B13">
        <f>3273*2*0.596</f>
        <v>3901.4159999999997</v>
      </c>
      <c r="D13">
        <f>4126*2*0.605</f>
        <v>4992.46</v>
      </c>
      <c r="F13">
        <f>4248*2*0.602</f>
        <v>5114.5919999999996</v>
      </c>
    </row>
    <row r="15" spans="1:6" x14ac:dyDescent="0.3">
      <c r="A15">
        <f>A2*A2</f>
        <v>1</v>
      </c>
      <c r="B15">
        <f>B2*B2</f>
        <v>10566400.359999999</v>
      </c>
      <c r="D15">
        <f>D2*D2</f>
        <v>17028002.25</v>
      </c>
      <c r="F15">
        <f>F2*F2</f>
        <v>18105025</v>
      </c>
    </row>
    <row r="16" spans="1:6" x14ac:dyDescent="0.3">
      <c r="A16">
        <f t="shared" ref="A16:A21" si="0">A3*A3</f>
        <v>4</v>
      </c>
      <c r="B16">
        <f t="shared" ref="B16:B21" si="1">B3*B3</f>
        <v>42031882.239999995</v>
      </c>
      <c r="D16">
        <f t="shared" ref="D16:D21" si="2">D3*D3</f>
        <v>68277169</v>
      </c>
      <c r="F16">
        <f t="shared" ref="F16:F21" si="3">F3*F3</f>
        <v>72477979.559999987</v>
      </c>
    </row>
    <row r="17" spans="1:6" x14ac:dyDescent="0.3">
      <c r="A17">
        <f t="shared" si="0"/>
        <v>9</v>
      </c>
      <c r="B17">
        <f t="shared" si="1"/>
        <v>94867600</v>
      </c>
      <c r="D17">
        <f t="shared" si="2"/>
        <v>153536881</v>
      </c>
      <c r="F17">
        <f t="shared" si="3"/>
        <v>162996289</v>
      </c>
    </row>
    <row r="18" spans="1:6" x14ac:dyDescent="0.3">
      <c r="A18">
        <f t="shared" si="0"/>
        <v>16</v>
      </c>
      <c r="B18">
        <f t="shared" si="1"/>
        <v>168272784</v>
      </c>
      <c r="D18">
        <f t="shared" si="2"/>
        <v>272745225</v>
      </c>
      <c r="F18">
        <f t="shared" si="3"/>
        <v>289714441</v>
      </c>
    </row>
    <row r="19" spans="1:6" x14ac:dyDescent="0.3">
      <c r="A19">
        <f t="shared" si="0"/>
        <v>25</v>
      </c>
      <c r="B19">
        <f t="shared" si="1"/>
        <v>272646144</v>
      </c>
      <c r="D19">
        <f t="shared" si="2"/>
        <v>426174736</v>
      </c>
      <c r="F19">
        <f t="shared" si="3"/>
        <v>452753284</v>
      </c>
    </row>
    <row r="20" spans="1:6" x14ac:dyDescent="0.3">
      <c r="A20">
        <f t="shared" si="0"/>
        <v>36</v>
      </c>
      <c r="B20">
        <f t="shared" si="1"/>
        <v>386869561</v>
      </c>
      <c r="D20">
        <f t="shared" si="2"/>
        <v>612958564</v>
      </c>
      <c r="F20">
        <f t="shared" si="3"/>
        <v>649791081</v>
      </c>
    </row>
    <row r="21" spans="1:6" x14ac:dyDescent="0.3">
      <c r="A21">
        <f t="shared" si="0"/>
        <v>49</v>
      </c>
      <c r="B21">
        <f t="shared" si="1"/>
        <v>517699009</v>
      </c>
      <c r="D21">
        <f t="shared" si="2"/>
        <v>834458769</v>
      </c>
      <c r="F21">
        <f t="shared" si="3"/>
        <v>884824516</v>
      </c>
    </row>
    <row r="23" spans="1:6" x14ac:dyDescent="0.3">
      <c r="B23" t="s">
        <v>10</v>
      </c>
    </row>
    <row r="24" spans="1:6" x14ac:dyDescent="0.3">
      <c r="B24">
        <v>23</v>
      </c>
      <c r="D24">
        <v>12</v>
      </c>
      <c r="F24">
        <v>14</v>
      </c>
    </row>
    <row r="25" spans="1:6" x14ac:dyDescent="0.3">
      <c r="B25">
        <v>9</v>
      </c>
    </row>
    <row r="27" spans="1:6" x14ac:dyDescent="0.3">
      <c r="B27" t="s">
        <v>11</v>
      </c>
    </row>
    <row r="28" spans="1:6" x14ac:dyDescent="0.3">
      <c r="B28">
        <v>17</v>
      </c>
      <c r="D28">
        <v>22</v>
      </c>
      <c r="F28">
        <v>24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5AD6-83E7-46B4-992B-1E15712A50DD}">
  <dimension ref="A1:O11"/>
  <sheetViews>
    <sheetView workbookViewId="0">
      <selection activeCell="L26" sqref="L26"/>
    </sheetView>
  </sheetViews>
  <sheetFormatPr defaultRowHeight="14.4" x14ac:dyDescent="0.3"/>
  <sheetData>
    <row r="1" spans="1:15" x14ac:dyDescent="0.3">
      <c r="A1" t="s">
        <v>1</v>
      </c>
      <c r="B1" t="s">
        <v>6</v>
      </c>
      <c r="C1" t="s">
        <v>7</v>
      </c>
      <c r="D1" t="s">
        <v>8</v>
      </c>
      <c r="E1" t="s">
        <v>9</v>
      </c>
      <c r="G1">
        <v>11.98</v>
      </c>
      <c r="H1">
        <v>2.95</v>
      </c>
      <c r="I1">
        <v>26.03</v>
      </c>
      <c r="J1">
        <f>I1/H1/10/PI()*4/G1/G1*1000000</f>
        <v>7827.960664437117</v>
      </c>
      <c r="L1">
        <v>11.47</v>
      </c>
      <c r="M1">
        <v>3</v>
      </c>
      <c r="N1">
        <v>8.9939999999999998</v>
      </c>
      <c r="O1">
        <f>N1/M1/10/PI()*4/L1/L1*1000000</f>
        <v>2901.448800605664</v>
      </c>
    </row>
    <row r="2" spans="1:15" x14ac:dyDescent="0.3">
      <c r="B2">
        <v>11.64</v>
      </c>
      <c r="C2">
        <v>2.98</v>
      </c>
      <c r="D2">
        <v>29.114000000000001</v>
      </c>
      <c r="E2">
        <f>D2/C2/10/PI()*4/B2/B2*1000000</f>
        <v>9180.9954381053794</v>
      </c>
      <c r="G2">
        <v>11.95</v>
      </c>
      <c r="H2">
        <v>2.98</v>
      </c>
      <c r="I2">
        <v>26.158999999999999</v>
      </c>
      <c r="J2">
        <f t="shared" ref="J2:J8" si="0">I2/H2/10/PI()*4/G2/G2*1000000</f>
        <v>7826.7089092816204</v>
      </c>
      <c r="L2">
        <v>12.09</v>
      </c>
      <c r="M2">
        <v>3</v>
      </c>
      <c r="N2">
        <v>9.4909999999999997</v>
      </c>
      <c r="O2">
        <f t="shared" ref="O2:O8" si="1">N2/M2/10/PI()*4/L2/L2*1000000</f>
        <v>2755.8034252073307</v>
      </c>
    </row>
    <row r="3" spans="1:15" x14ac:dyDescent="0.3">
      <c r="B3">
        <v>11.7</v>
      </c>
      <c r="C3">
        <v>3</v>
      </c>
      <c r="D3">
        <v>29.457000000000001</v>
      </c>
      <c r="E3">
        <f t="shared" ref="E3:E11" si="2">D3/C3/10/PI()*4/B3/B3*1000000</f>
        <v>9132.8359191720101</v>
      </c>
      <c r="G3">
        <v>11.69</v>
      </c>
      <c r="H3">
        <v>3.12</v>
      </c>
      <c r="I3">
        <v>28.114999999999998</v>
      </c>
      <c r="J3" s="1">
        <f>I3/H3/10/PI()*4/G3/G3*1000000</f>
        <v>8395.8484389170808</v>
      </c>
      <c r="L3">
        <v>11.71</v>
      </c>
      <c r="M3">
        <v>3.01</v>
      </c>
      <c r="N3">
        <v>9.1950000000000003</v>
      </c>
      <c r="O3">
        <f t="shared" si="1"/>
        <v>2836.4920224977723</v>
      </c>
    </row>
    <row r="4" spans="1:15" x14ac:dyDescent="0.3">
      <c r="B4">
        <v>11.9</v>
      </c>
      <c r="C4">
        <v>3.03</v>
      </c>
      <c r="D4">
        <v>30.117000000000001</v>
      </c>
      <c r="E4">
        <f t="shared" si="2"/>
        <v>8936.8666205652662</v>
      </c>
      <c r="G4">
        <v>11.99</v>
      </c>
      <c r="H4">
        <v>3.95</v>
      </c>
      <c r="I4">
        <v>34.950000000000003</v>
      </c>
      <c r="J4">
        <f t="shared" si="0"/>
        <v>7836.4945680107494</v>
      </c>
      <c r="L4">
        <v>11.46</v>
      </c>
      <c r="M4">
        <v>3.08</v>
      </c>
      <c r="N4">
        <v>9.2650000000000006</v>
      </c>
      <c r="O4">
        <f t="shared" si="1"/>
        <v>2916.3227820036432</v>
      </c>
    </row>
    <row r="5" spans="1:15" x14ac:dyDescent="0.3">
      <c r="B5">
        <v>11.82</v>
      </c>
      <c r="C5">
        <v>3.97</v>
      </c>
      <c r="D5">
        <v>39.392000000000003</v>
      </c>
      <c r="E5">
        <f t="shared" si="2"/>
        <v>9042.5868786007704</v>
      </c>
      <c r="G5">
        <v>11.98</v>
      </c>
      <c r="H5">
        <v>3.98</v>
      </c>
      <c r="I5">
        <v>35.152999999999999</v>
      </c>
      <c r="J5">
        <f t="shared" si="0"/>
        <v>7835.6639965967579</v>
      </c>
      <c r="L5">
        <v>11.66</v>
      </c>
      <c r="M5">
        <v>4.01</v>
      </c>
      <c r="N5">
        <v>12.180999999999999</v>
      </c>
      <c r="O5">
        <f t="shared" si="1"/>
        <v>2844.7990113632845</v>
      </c>
    </row>
    <row r="6" spans="1:15" x14ac:dyDescent="0.3">
      <c r="B6">
        <v>12.24</v>
      </c>
      <c r="C6">
        <v>4</v>
      </c>
      <c r="D6">
        <v>40.997</v>
      </c>
      <c r="E6">
        <f t="shared" si="2"/>
        <v>8710.4254799682185</v>
      </c>
      <c r="G6">
        <v>11.98</v>
      </c>
      <c r="H6">
        <v>4</v>
      </c>
      <c r="I6">
        <v>35.197000000000003</v>
      </c>
      <c r="J6">
        <f t="shared" si="0"/>
        <v>7806.2443137079326</v>
      </c>
      <c r="L6">
        <v>12.57</v>
      </c>
      <c r="M6">
        <v>4.12</v>
      </c>
      <c r="N6">
        <v>13.238</v>
      </c>
      <c r="O6" s="1">
        <f t="shared" si="1"/>
        <v>2589.1947871697871</v>
      </c>
    </row>
    <row r="7" spans="1:15" x14ac:dyDescent="0.3">
      <c r="B7">
        <v>11.48</v>
      </c>
      <c r="C7">
        <v>4.03</v>
      </c>
      <c r="D7">
        <v>38.722000000000001</v>
      </c>
      <c r="E7">
        <f t="shared" si="2"/>
        <v>9282.8017828329848</v>
      </c>
      <c r="G7">
        <v>12.34</v>
      </c>
      <c r="H7">
        <v>4.08</v>
      </c>
      <c r="I7">
        <v>36.930999999999997</v>
      </c>
      <c r="J7" s="1">
        <f t="shared" si="0"/>
        <v>7568.5154807889694</v>
      </c>
      <c r="L7">
        <v>11.49</v>
      </c>
      <c r="M7">
        <v>4.2300000000000004</v>
      </c>
      <c r="N7">
        <v>12.456</v>
      </c>
      <c r="O7">
        <f t="shared" si="1"/>
        <v>2839.9343025788207</v>
      </c>
    </row>
    <row r="8" spans="1:15" x14ac:dyDescent="0.3">
      <c r="B8">
        <v>11.91</v>
      </c>
      <c r="C8">
        <v>4.04</v>
      </c>
      <c r="D8">
        <v>40.356000000000002</v>
      </c>
      <c r="E8">
        <f t="shared" si="2"/>
        <v>8966.3016156105914</v>
      </c>
      <c r="G8">
        <v>12.14</v>
      </c>
      <c r="H8">
        <v>4.12</v>
      </c>
      <c r="I8">
        <v>37.095999999999997</v>
      </c>
      <c r="J8">
        <f t="shared" si="0"/>
        <v>7778.6210046761335</v>
      </c>
      <c r="L8">
        <v>11.5</v>
      </c>
      <c r="M8">
        <v>4.25</v>
      </c>
      <c r="N8">
        <v>12.487</v>
      </c>
      <c r="O8">
        <f t="shared" si="1"/>
        <v>2828.6786958937801</v>
      </c>
    </row>
    <row r="9" spans="1:15" x14ac:dyDescent="0.3">
      <c r="B9">
        <v>11.88</v>
      </c>
      <c r="C9">
        <v>4.1399999999999997</v>
      </c>
      <c r="D9">
        <v>41.345999999999997</v>
      </c>
      <c r="E9">
        <f t="shared" si="2"/>
        <v>9009.7013733214535</v>
      </c>
      <c r="F9" t="s">
        <v>2</v>
      </c>
      <c r="K9" t="s">
        <v>3</v>
      </c>
    </row>
    <row r="10" spans="1:15" x14ac:dyDescent="0.3">
      <c r="E10" t="e">
        <f t="shared" si="2"/>
        <v>#DIV/0!</v>
      </c>
    </row>
    <row r="11" spans="1:15" x14ac:dyDescent="0.3">
      <c r="B11">
        <f>AVERAGE(B2:B9)</f>
        <v>11.821249999999999</v>
      </c>
      <c r="C11">
        <f t="shared" ref="C11:D11" si="3">AVERAGE(C2:C9)</f>
        <v>3.6487500000000002</v>
      </c>
      <c r="D11">
        <f t="shared" si="3"/>
        <v>36.187624999999997</v>
      </c>
      <c r="E11">
        <f t="shared" si="2"/>
        <v>9036.4799176874112</v>
      </c>
    </row>
  </sheetData>
  <sortState xmlns:xlrd2="http://schemas.microsoft.com/office/spreadsheetml/2017/richdata2" ref="K1:N9">
    <sortCondition ref="M2:M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DDAE-37D0-4B04-8CA0-748D96CF9FA9}">
  <dimension ref="A1:O16"/>
  <sheetViews>
    <sheetView tabSelected="1" topLeftCell="G1" workbookViewId="0">
      <selection activeCell="H13" sqref="H13"/>
    </sheetView>
  </sheetViews>
  <sheetFormatPr defaultRowHeight="14.4" x14ac:dyDescent="0.3"/>
  <sheetData>
    <row r="1" spans="1:15" x14ac:dyDescent="0.3">
      <c r="A1">
        <v>4253</v>
      </c>
      <c r="B1">
        <v>8</v>
      </c>
      <c r="E1">
        <v>4253</v>
      </c>
      <c r="F1">
        <v>8</v>
      </c>
      <c r="H1">
        <v>4252.8999999999996</v>
      </c>
      <c r="I1">
        <v>7.8</v>
      </c>
      <c r="L1">
        <v>4253.12</v>
      </c>
      <c r="M1">
        <v>8</v>
      </c>
      <c r="O1">
        <v>4256.2</v>
      </c>
    </row>
    <row r="2" spans="1:15" x14ac:dyDescent="0.3">
      <c r="A2">
        <v>4252</v>
      </c>
      <c r="B2">
        <v>6.8</v>
      </c>
      <c r="E2">
        <v>4252.87</v>
      </c>
      <c r="F2">
        <v>7.6</v>
      </c>
      <c r="L2">
        <v>4253.0600000000004</v>
      </c>
      <c r="M2">
        <v>7.8</v>
      </c>
      <c r="O2">
        <v>4256.25</v>
      </c>
    </row>
    <row r="3" spans="1:15" x14ac:dyDescent="0.3">
      <c r="A3">
        <v>4251</v>
      </c>
      <c r="B3">
        <v>4.2</v>
      </c>
      <c r="E3">
        <v>4252.72</v>
      </c>
      <c r="F3">
        <v>6.8</v>
      </c>
      <c r="L3">
        <v>4253.01</v>
      </c>
      <c r="M3">
        <v>7.6</v>
      </c>
      <c r="O3">
        <v>4256.3</v>
      </c>
    </row>
    <row r="4" spans="1:15" x14ac:dyDescent="0.3">
      <c r="A4">
        <v>4250</v>
      </c>
      <c r="B4">
        <v>3.4</v>
      </c>
      <c r="E4">
        <v>4252.55</v>
      </c>
      <c r="F4">
        <v>6.4</v>
      </c>
      <c r="L4">
        <v>4252.96</v>
      </c>
      <c r="M4">
        <v>7.4</v>
      </c>
      <c r="O4">
        <v>4256.3599999999997</v>
      </c>
    </row>
    <row r="5" spans="1:15" x14ac:dyDescent="0.3">
      <c r="A5">
        <v>4249</v>
      </c>
      <c r="B5">
        <v>2.8</v>
      </c>
      <c r="E5">
        <v>4252.22</v>
      </c>
      <c r="F5">
        <v>6</v>
      </c>
      <c r="L5">
        <v>4252.87</v>
      </c>
      <c r="M5">
        <v>7.2</v>
      </c>
      <c r="O5">
        <v>4256.46</v>
      </c>
    </row>
    <row r="6" spans="1:15" x14ac:dyDescent="0.3">
      <c r="A6">
        <v>4248</v>
      </c>
      <c r="B6">
        <v>2.4</v>
      </c>
      <c r="L6">
        <v>4252.8100000000004</v>
      </c>
      <c r="M6">
        <v>7</v>
      </c>
      <c r="O6">
        <v>4256.53</v>
      </c>
    </row>
    <row r="7" spans="1:15" x14ac:dyDescent="0.3">
      <c r="A7">
        <v>4247</v>
      </c>
      <c r="B7">
        <v>2.2000000000000002</v>
      </c>
      <c r="L7">
        <v>4252.72</v>
      </c>
      <c r="M7">
        <v>6.8</v>
      </c>
      <c r="O7">
        <v>4256.6000000000004</v>
      </c>
    </row>
    <row r="8" spans="1:15" x14ac:dyDescent="0.3">
      <c r="A8">
        <v>4246</v>
      </c>
      <c r="B8">
        <v>2</v>
      </c>
      <c r="H8" s="1" t="s">
        <v>4</v>
      </c>
      <c r="L8">
        <v>4252.66</v>
      </c>
      <c r="M8">
        <v>6.6</v>
      </c>
      <c r="O8">
        <v>4256.6499999999996</v>
      </c>
    </row>
    <row r="9" spans="1:15" x14ac:dyDescent="0.3">
      <c r="A9">
        <v>4244</v>
      </c>
      <c r="B9">
        <v>1.6</v>
      </c>
      <c r="H9" s="1">
        <v>4253.34</v>
      </c>
      <c r="L9">
        <v>4252.54</v>
      </c>
      <c r="M9">
        <v>6.4</v>
      </c>
      <c r="O9">
        <v>4256.76</v>
      </c>
    </row>
    <row r="10" spans="1:15" x14ac:dyDescent="0.3">
      <c r="H10" t="s">
        <v>5</v>
      </c>
      <c r="L10">
        <v>4252.46</v>
      </c>
      <c r="M10">
        <v>6.2</v>
      </c>
      <c r="O10">
        <v>4256.8</v>
      </c>
    </row>
    <row r="11" spans="1:15" x14ac:dyDescent="0.3">
      <c r="H11">
        <v>895.44</v>
      </c>
      <c r="L11">
        <v>4252.3900000000003</v>
      </c>
      <c r="M11">
        <v>6</v>
      </c>
      <c r="O11">
        <v>4256.8999999999996</v>
      </c>
    </row>
    <row r="12" spans="1:15" x14ac:dyDescent="0.3">
      <c r="H12">
        <f>H9/(O12-L12)</f>
        <v>895.44</v>
      </c>
      <c r="L12">
        <v>4252.28</v>
      </c>
      <c r="M12">
        <v>5.8</v>
      </c>
      <c r="O12">
        <v>4257.03</v>
      </c>
    </row>
    <row r="13" spans="1:15" x14ac:dyDescent="0.3">
      <c r="L13">
        <v>4252.1400000000003</v>
      </c>
      <c r="M13">
        <v>5.6</v>
      </c>
      <c r="O13">
        <v>4257.1099999999997</v>
      </c>
    </row>
    <row r="14" spans="1:15" x14ac:dyDescent="0.3">
      <c r="L14">
        <v>4252.07</v>
      </c>
      <c r="M14">
        <v>5.4</v>
      </c>
      <c r="O14">
        <v>4257.21</v>
      </c>
    </row>
    <row r="15" spans="1:15" x14ac:dyDescent="0.3">
      <c r="L15">
        <v>4251.93</v>
      </c>
      <c r="M15">
        <v>5.2</v>
      </c>
      <c r="O15">
        <v>4257.3500000000004</v>
      </c>
    </row>
    <row r="16" spans="1:15" x14ac:dyDescent="0.3">
      <c r="L16">
        <v>4251.83</v>
      </c>
      <c r="M16">
        <v>5</v>
      </c>
      <c r="O16">
        <v>4257.46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Частоты</vt:lpstr>
      <vt:lpstr>Плотность</vt:lpstr>
      <vt:lpstr>Добротность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2024-10-24T06:27:38Z</dcterms:created>
  <dcterms:modified xsi:type="dcterms:W3CDTF">2024-10-28T09:29:44Z</dcterms:modified>
</cp:coreProperties>
</file>