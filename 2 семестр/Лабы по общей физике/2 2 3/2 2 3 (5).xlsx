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2 семестр\2 2 3\"/>
    </mc:Choice>
  </mc:AlternateContent>
  <xr:revisionPtr revIDLastSave="0" documentId="13_ncr:1_{28FD27BD-FD17-4817-87A2-EAB8123A16C4}" xr6:coauthVersionLast="47" xr6:coauthVersionMax="47" xr10:uidLastSave="{00000000-0000-0000-0000-000000000000}"/>
  <bookViews>
    <workbookView xWindow="-108" yWindow="-108" windowWidth="23256" windowHeight="13896" xr2:uid="{DCCDCF11-F544-4DF9-8879-0BED107863EB}"/>
  </bookViews>
  <sheets>
    <sheet name="Лист1" sheetId="1" r:id="rId1"/>
    <sheet name="23" sheetId="2" r:id="rId2"/>
    <sheet name="30" sheetId="3" r:id="rId3"/>
    <sheet name="40" sheetId="4" r:id="rId4"/>
    <sheet name="50" sheetId="5" r:id="rId5"/>
    <sheet name="60" sheetId="6" r:id="rId6"/>
    <sheet name="70" sheetId="7" r:id="rId7"/>
    <sheet name="Лист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2"/>
  <c r="E4" i="2"/>
  <c r="E5" i="2"/>
  <c r="E6" i="2"/>
  <c r="E7" i="2"/>
  <c r="E8" i="2"/>
  <c r="E9" i="2"/>
  <c r="E10" i="2"/>
  <c r="E11" i="2"/>
  <c r="E12" i="2"/>
  <c r="E2" i="2"/>
  <c r="E3" i="7"/>
  <c r="E4" i="7"/>
  <c r="E5" i="7"/>
  <c r="E6" i="7"/>
  <c r="E7" i="7"/>
  <c r="E8" i="7"/>
  <c r="E9" i="7"/>
  <c r="E10" i="7"/>
  <c r="E11" i="7"/>
  <c r="E2" i="7"/>
  <c r="E3" i="4"/>
  <c r="E4" i="4"/>
  <c r="E5" i="4"/>
  <c r="E6" i="4"/>
  <c r="E7" i="4"/>
  <c r="E8" i="4"/>
  <c r="E9" i="4"/>
  <c r="E10" i="4"/>
  <c r="E11" i="4"/>
  <c r="E2" i="4"/>
  <c r="E3" i="3"/>
  <c r="E4" i="3"/>
  <c r="E5" i="3"/>
  <c r="E6" i="3"/>
  <c r="E7" i="3"/>
  <c r="E8" i="3"/>
  <c r="E9" i="3"/>
  <c r="E10" i="3"/>
  <c r="E11" i="3"/>
  <c r="D2" i="4"/>
  <c r="D2" i="3"/>
  <c r="E3" i="5"/>
  <c r="E4" i="5"/>
  <c r="E5" i="5"/>
  <c r="E6" i="5"/>
  <c r="E7" i="5"/>
  <c r="E8" i="5"/>
  <c r="E9" i="5"/>
  <c r="E10" i="5"/>
  <c r="E11" i="5"/>
  <c r="E2" i="5"/>
  <c r="E3" i="6"/>
  <c r="E4" i="6"/>
  <c r="E5" i="6"/>
  <c r="E6" i="6"/>
  <c r="E7" i="6"/>
  <c r="E8" i="6"/>
  <c r="E9" i="6"/>
  <c r="E10" i="6"/>
  <c r="E11" i="6"/>
  <c r="E2" i="6"/>
  <c r="D2" i="2"/>
  <c r="J12" i="8"/>
  <c r="J11" i="8"/>
  <c r="J10" i="8"/>
  <c r="J9" i="8"/>
  <c r="J8" i="8"/>
  <c r="J7" i="8"/>
  <c r="J6" i="8"/>
  <c r="J5" i="8"/>
  <c r="J4" i="8"/>
  <c r="J3" i="8"/>
  <c r="G12" i="8"/>
  <c r="G11" i="8"/>
  <c r="G10" i="8"/>
  <c r="G9" i="8"/>
  <c r="G8" i="8"/>
  <c r="G7" i="8"/>
  <c r="G6" i="8"/>
  <c r="G5" i="8"/>
  <c r="G4" i="8"/>
  <c r="G3" i="8"/>
  <c r="D12" i="8"/>
  <c r="D11" i="8"/>
  <c r="D10" i="8"/>
  <c r="D9" i="8"/>
  <c r="D8" i="8"/>
  <c r="D7" i="8"/>
  <c r="D6" i="8"/>
  <c r="D5" i="8"/>
  <c r="D4" i="8"/>
  <c r="D3" i="8"/>
  <c r="D11" i="7"/>
  <c r="D10" i="7"/>
  <c r="D9" i="7"/>
  <c r="D8" i="7"/>
  <c r="D7" i="7"/>
  <c r="D6" i="7"/>
  <c r="D5" i="7"/>
  <c r="D4" i="7"/>
  <c r="D3" i="7"/>
  <c r="D2" i="7"/>
  <c r="D11" i="6"/>
  <c r="D10" i="6"/>
  <c r="D9" i="6"/>
  <c r="D8" i="6"/>
  <c r="D7" i="6"/>
  <c r="D6" i="6"/>
  <c r="D5" i="6"/>
  <c r="D4" i="6"/>
  <c r="D3" i="6"/>
  <c r="D2" i="6"/>
  <c r="D11" i="5"/>
  <c r="D10" i="5"/>
  <c r="D9" i="5"/>
  <c r="D8" i="5"/>
  <c r="D7" i="5"/>
  <c r="D6" i="5"/>
  <c r="D5" i="5"/>
  <c r="D4" i="5"/>
  <c r="D3" i="5"/>
  <c r="D2" i="5"/>
  <c r="D11" i="4"/>
  <c r="D10" i="4"/>
  <c r="D9" i="4"/>
  <c r="D8" i="4"/>
  <c r="D7" i="4"/>
  <c r="D6" i="4"/>
  <c r="D5" i="4"/>
  <c r="D4" i="4"/>
  <c r="D3" i="4"/>
  <c r="D11" i="3"/>
  <c r="D10" i="3"/>
  <c r="D9" i="3"/>
  <c r="D8" i="3"/>
  <c r="D7" i="3"/>
  <c r="D6" i="3"/>
  <c r="D5" i="3"/>
  <c r="D4" i="3"/>
  <c r="D3" i="3"/>
  <c r="D3" i="2"/>
  <c r="D4" i="2"/>
  <c r="D5" i="2"/>
  <c r="D6" i="2"/>
  <c r="D7" i="2"/>
  <c r="D8" i="2"/>
  <c r="D9" i="2"/>
  <c r="D10" i="2"/>
  <c r="D11" i="2"/>
  <c r="D12" i="2"/>
</calcChain>
</file>

<file path=xl/sharedStrings.xml><?xml version="1.0" encoding="utf-8"?>
<sst xmlns="http://schemas.openxmlformats.org/spreadsheetml/2006/main" count="45" uniqueCount="8">
  <si>
    <t>Qmax, Вт</t>
  </si>
  <si>
    <t>Imax, A</t>
  </si>
  <si>
    <t>I, mA</t>
  </si>
  <si>
    <t>U, mV</t>
  </si>
  <si>
    <t>R, Om</t>
  </si>
  <si>
    <t>t, C</t>
  </si>
  <si>
    <t>Rн,  Ом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</si>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</sst>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Лист1!$E$2:$E$7</c:f>
              <c:numCache>
                <c:formatCode>General</c:formatCode>
                <c:ptCount val="6"/>
                <c:pt idx="0">
                  <c:v>23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</c:numCache>
            </c:numRef>
          </c:xVal>
          <c:yVal>
            <c:numRef>
              <c:f>Лист1!$F$2:$F$7</c:f>
              <c:numCache>
                <c:formatCode>General</c:formatCode>
                <c:ptCount val="6"/>
                <c:pt idx="0">
                  <c:v>19.545568880000001</c:v>
                </c:pt>
                <c:pt idx="1">
                  <c:v>20.02683296</c:v>
                </c:pt>
                <c:pt idx="2">
                  <c:v>20.725377259999998</c:v>
                </c:pt>
                <c:pt idx="3">
                  <c:v>21.477303450000001</c:v>
                </c:pt>
                <c:pt idx="4">
                  <c:v>22.176555740000001</c:v>
                </c:pt>
                <c:pt idx="5">
                  <c:v>22.975869939999999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1C-4ACF-9055-B83052479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6012527"/>
        <c:axId val="856013487"/>
      </c:scatterChart>
      <c:valAx>
        <c:axId val="856012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013487"/>
        <c:crosses val="autoZero"/>
        <c:crossBetween val="midCat"/>
      </c:valAx>
      <c:valAx>
        <c:axId val="8560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601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'23'!$E$2:$E$11</c:f>
              <c:numCache>
                <c:formatCode>General</c:formatCode>
                <c:ptCount val="10"/>
                <c:pt idx="0">
                  <c:v>2.9030399999999998E-2</c:v>
                </c:pt>
                <c:pt idx="1">
                  <c:v>3.5951999999999998E-2</c:v>
                </c:pt>
                <c:pt idx="2">
                  <c:v>4.512E-2</c:v>
                </c:pt>
                <c:pt idx="3">
                  <c:v>5.8850000000000006E-2</c:v>
                </c:pt>
                <c:pt idx="4">
                  <c:v>0.08</c:v>
                </c:pt>
                <c:pt idx="5">
                  <c:v>0.11549999999999999</c:v>
                </c:pt>
                <c:pt idx="6">
                  <c:v>0.18048</c:v>
                </c:pt>
                <c:pt idx="7">
                  <c:v>0.32</c:v>
                </c:pt>
                <c:pt idx="8">
                  <c:v>0.72</c:v>
                </c:pt>
                <c:pt idx="9">
                  <c:v>2.87616</c:v>
                </c:pt>
              </c:numCache>
            </c:numRef>
          </c:xVal>
          <c:yVal>
            <c:numRef>
              <c:f>'23'!$D$2:$D$11</c:f>
              <c:numCache>
                <c:formatCode>General</c:formatCode>
                <c:ptCount val="10"/>
                <c:pt idx="0">
                  <c:v>19.687500000000004</c:v>
                </c:pt>
                <c:pt idx="1">
                  <c:v>19.626168224299064</c:v>
                </c:pt>
                <c:pt idx="2">
                  <c:v>19.583333333333332</c:v>
                </c:pt>
                <c:pt idx="3">
                  <c:v>19.454545454545457</c:v>
                </c:pt>
                <c:pt idx="4">
                  <c:v>19.53125</c:v>
                </c:pt>
                <c:pt idx="5">
                  <c:v>19.480519480519479</c:v>
                </c:pt>
                <c:pt idx="6">
                  <c:v>19.583333333333332</c:v>
                </c:pt>
                <c:pt idx="7">
                  <c:v>19.53125</c:v>
                </c:pt>
                <c:pt idx="8">
                  <c:v>19.53125</c:v>
                </c:pt>
                <c:pt idx="9">
                  <c:v>19.505208333333332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02-435A-882D-C97386C53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378863"/>
        <c:axId val="1584201343"/>
      </c:scatterChart>
      <c:valAx>
        <c:axId val="16443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201343"/>
        <c:crosses val="autoZero"/>
        <c:crossBetween val="midCat"/>
      </c:valAx>
      <c:valAx>
        <c:axId val="158420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43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'30'!$D$2:$D$10</c:f>
              <c:numCache>
                <c:formatCode>General</c:formatCode>
                <c:ptCount val="9"/>
                <c:pt idx="0">
                  <c:v>20.238095238095237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20.052083333333332</c:v>
                </c:pt>
                <c:pt idx="8">
                  <c:v>20</c:v>
                </c:pt>
              </c:numCache>
            </c:numRef>
          </c:xVal>
          <c:yVal>
            <c:numRef>
              <c:f>'30'!$E$2:$E$10</c:f>
              <c:numCache>
                <c:formatCode>General</c:formatCode>
                <c:ptCount val="9"/>
                <c:pt idx="0">
                  <c:v>3.5700000000000003E-2</c:v>
                </c:pt>
                <c:pt idx="1">
                  <c:v>4.6079999999999996E-2</c:v>
                </c:pt>
                <c:pt idx="2">
                  <c:v>6.0500000000000005E-2</c:v>
                </c:pt>
                <c:pt idx="3">
                  <c:v>8.1920000000000007E-2</c:v>
                </c:pt>
                <c:pt idx="4">
                  <c:v>0.11858</c:v>
                </c:pt>
                <c:pt idx="5">
                  <c:v>0.18431999999999998</c:v>
                </c:pt>
                <c:pt idx="6">
                  <c:v>0.32768000000000003</c:v>
                </c:pt>
                <c:pt idx="7">
                  <c:v>0.73920000000000008</c:v>
                </c:pt>
                <c:pt idx="8">
                  <c:v>2.9491199999999997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8-4510-A3CD-2185B607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399663"/>
        <c:axId val="2106400143"/>
      </c:scatterChart>
      <c:valAx>
        <c:axId val="210639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6400143"/>
        <c:crosses val="autoZero"/>
        <c:crossBetween val="midCat"/>
      </c:valAx>
      <c:valAx>
        <c:axId val="21064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639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'40'!$D$2:$D$9</c:f>
              <c:numCache>
                <c:formatCode>General</c:formatCode>
                <c:ptCount val="8"/>
                <c:pt idx="0">
                  <c:v>20.952380952380953</c:v>
                </c:pt>
                <c:pt idx="1">
                  <c:v>20.625</c:v>
                </c:pt>
                <c:pt idx="2">
                  <c:v>20.727272727272727</c:v>
                </c:pt>
                <c:pt idx="3">
                  <c:v>20.748829953198129</c:v>
                </c:pt>
                <c:pt idx="4">
                  <c:v>20.649350649350652</c:v>
                </c:pt>
                <c:pt idx="5">
                  <c:v>20.729166666666668</c:v>
                </c:pt>
                <c:pt idx="6">
                  <c:v>20.703125</c:v>
                </c:pt>
                <c:pt idx="7">
                  <c:v>20.729166666666668</c:v>
                </c:pt>
              </c:numCache>
            </c:numRef>
          </c:xVal>
          <c:yVal>
            <c:numRef>
              <c:f>'40'!$E$2:$E$9</c:f>
              <c:numCache>
                <c:formatCode>General</c:formatCode>
                <c:ptCount val="8"/>
                <c:pt idx="0">
                  <c:v>3.696E-2</c:v>
                </c:pt>
                <c:pt idx="1">
                  <c:v>4.752E-2</c:v>
                </c:pt>
                <c:pt idx="2">
                  <c:v>6.2699999999999992E-2</c:v>
                </c:pt>
                <c:pt idx="3">
                  <c:v>8.5253000000000009E-2</c:v>
                </c:pt>
                <c:pt idx="4">
                  <c:v>0.12243000000000001</c:v>
                </c:pt>
                <c:pt idx="5">
                  <c:v>0.19104000000000002</c:v>
                </c:pt>
                <c:pt idx="6">
                  <c:v>0.3392</c:v>
                </c:pt>
                <c:pt idx="7">
                  <c:v>0.76416000000000006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17-4E9D-87FF-936D0B34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171087"/>
        <c:axId val="1584173967"/>
      </c:scatterChart>
      <c:valAx>
        <c:axId val="158417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73967"/>
        <c:crosses val="autoZero"/>
        <c:crossBetween val="midCat"/>
      </c:valAx>
      <c:valAx>
        <c:axId val="15841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7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'50'!$D$2:$D$9</c:f>
              <c:numCache>
                <c:formatCode>General</c:formatCode>
                <c:ptCount val="8"/>
                <c:pt idx="0">
                  <c:v>21.666666666666664</c:v>
                </c:pt>
                <c:pt idx="1">
                  <c:v>21.458333333333332</c:v>
                </c:pt>
                <c:pt idx="2">
                  <c:v>21.454545454545453</c:v>
                </c:pt>
                <c:pt idx="3">
                  <c:v>21.562499999999996</c:v>
                </c:pt>
                <c:pt idx="4">
                  <c:v>21.428571428571427</c:v>
                </c:pt>
                <c:pt idx="5">
                  <c:v>21.458333333333332</c:v>
                </c:pt>
                <c:pt idx="6">
                  <c:v>21.484375</c:v>
                </c:pt>
                <c:pt idx="7">
                  <c:v>21.458333333333332</c:v>
                </c:pt>
              </c:numCache>
            </c:numRef>
          </c:xVal>
          <c:yVal>
            <c:numRef>
              <c:f>'50'!$E$2:$E$9</c:f>
              <c:numCache>
                <c:formatCode>General</c:formatCode>
                <c:ptCount val="8"/>
                <c:pt idx="0">
                  <c:v>3.8220000000000004E-2</c:v>
                </c:pt>
                <c:pt idx="1">
                  <c:v>4.9440000000000005E-2</c:v>
                </c:pt>
                <c:pt idx="2">
                  <c:v>6.4899999999999999E-2</c:v>
                </c:pt>
                <c:pt idx="3">
                  <c:v>8.8319999999999996E-2</c:v>
                </c:pt>
                <c:pt idx="4">
                  <c:v>0.12705</c:v>
                </c:pt>
                <c:pt idx="5">
                  <c:v>0.19776000000000002</c:v>
                </c:pt>
                <c:pt idx="6">
                  <c:v>0.35199999999999998</c:v>
                </c:pt>
                <c:pt idx="7">
                  <c:v>0.79104000000000008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9A-4F2E-899B-7E1D05D76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732847"/>
        <c:axId val="1763729967"/>
      </c:scatterChart>
      <c:valAx>
        <c:axId val="1763732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729967"/>
        <c:crosses val="autoZero"/>
        <c:crossBetween val="midCat"/>
      </c:valAx>
      <c:valAx>
        <c:axId val="176372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3732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'60'!$D$2:$D$9</c:f>
              <c:numCache>
                <c:formatCode>General</c:formatCode>
                <c:ptCount val="8"/>
                <c:pt idx="0">
                  <c:v>22.093023255813954</c:v>
                </c:pt>
                <c:pt idx="1">
                  <c:v>22.291666666666668</c:v>
                </c:pt>
                <c:pt idx="2">
                  <c:v>22.18181818181818</c:v>
                </c:pt>
                <c:pt idx="3">
                  <c:v>22.1875</c:v>
                </c:pt>
                <c:pt idx="4">
                  <c:v>22.207792207792206</c:v>
                </c:pt>
                <c:pt idx="5">
                  <c:v>22.1875</c:v>
                </c:pt>
                <c:pt idx="6">
                  <c:v>22.1875</c:v>
                </c:pt>
                <c:pt idx="7">
                  <c:v>22.1875</c:v>
                </c:pt>
              </c:numCache>
            </c:numRef>
          </c:xVal>
          <c:yVal>
            <c:numRef>
              <c:f>'60'!$E$2:$E$9</c:f>
              <c:numCache>
                <c:formatCode>General</c:formatCode>
                <c:ptCount val="8"/>
                <c:pt idx="0">
                  <c:v>4.0849999999999997E-2</c:v>
                </c:pt>
                <c:pt idx="1">
                  <c:v>5.1360000000000003E-2</c:v>
                </c:pt>
                <c:pt idx="2">
                  <c:v>6.7099999999999993E-2</c:v>
                </c:pt>
                <c:pt idx="3">
                  <c:v>9.0880000000000002E-2</c:v>
                </c:pt>
                <c:pt idx="4">
                  <c:v>0.13167000000000001</c:v>
                </c:pt>
                <c:pt idx="5">
                  <c:v>0.20448</c:v>
                </c:pt>
                <c:pt idx="6">
                  <c:v>0.36352000000000001</c:v>
                </c:pt>
                <c:pt idx="7">
                  <c:v>0.81791999999999998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01-4D3E-B24B-54AFA3688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200383"/>
        <c:axId val="1584202783"/>
      </c:scatterChart>
      <c:valAx>
        <c:axId val="158420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202783"/>
        <c:crosses val="autoZero"/>
        <c:crossBetween val="midCat"/>
      </c:valAx>
      <c:valAx>
        <c:axId val="158420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200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'70'!$D$2:$D$9</c:f>
              <c:numCache>
                <c:formatCode>General</c:formatCode>
                <c:ptCount val="8"/>
                <c:pt idx="0">
                  <c:v>23.02325581395349</c:v>
                </c:pt>
                <c:pt idx="1">
                  <c:v>23.125</c:v>
                </c:pt>
                <c:pt idx="2">
                  <c:v>22.90909090909091</c:v>
                </c:pt>
                <c:pt idx="3">
                  <c:v>23.125</c:v>
                </c:pt>
                <c:pt idx="4">
                  <c:v>22.987012987012989</c:v>
                </c:pt>
                <c:pt idx="5">
                  <c:v>23.020833333333332</c:v>
                </c:pt>
                <c:pt idx="6">
                  <c:v>22.96875</c:v>
                </c:pt>
                <c:pt idx="7">
                  <c:v>22.916666666666668</c:v>
                </c:pt>
              </c:numCache>
            </c:numRef>
          </c:xVal>
          <c:yVal>
            <c:numRef>
              <c:f>'70'!$E$2:$E$9</c:f>
              <c:numCache>
                <c:formatCode>General</c:formatCode>
                <c:ptCount val="8"/>
                <c:pt idx="0">
                  <c:v>4.2569999999999997E-2</c:v>
                </c:pt>
                <c:pt idx="1">
                  <c:v>5.3280000000000008E-2</c:v>
                </c:pt>
                <c:pt idx="2">
                  <c:v>6.93E-2</c:v>
                </c:pt>
                <c:pt idx="3">
                  <c:v>9.4719999999999999E-2</c:v>
                </c:pt>
                <c:pt idx="4">
                  <c:v>0.13628999999999999</c:v>
                </c:pt>
                <c:pt idx="5">
                  <c:v>0.21215999999999999</c:v>
                </c:pt>
                <c:pt idx="6">
                  <c:v>0.37631999999999999</c:v>
                </c:pt>
                <c:pt idx="7">
                  <c:v>0.84480000000000011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E6-45FD-9076-44BB2C620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4173007"/>
        <c:axId val="1584172527"/>
      </c:scatterChart>
      <c:valAx>
        <c:axId val="158417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72527"/>
        <c:crosses val="autoZero"/>
        <c:crossBetween val="midCat"/>
      </c:valAx>
      <c:valAx>
        <c:axId val="158417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4173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1</xdr:row>
      <xdr:rowOff>110490</xdr:rowOff>
    </xdr:from>
    <xdr:to>
      <xdr:col>14</xdr:col>
      <xdr:colOff>53340</xdr:colOff>
      <xdr:row>16</xdr:row>
      <xdr:rowOff>110490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BCF30EB-D6F1-1E0F-3FC5-17B483ADF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9367C20-880F-11A8-684A-06722E190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AA951E-7AEF-CABE-3EC5-5039DD2EA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67D8CB0-9A45-2760-65D9-6ED3916B5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12DDD9D-59D6-0A3F-BD0D-4868CA17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E6475F8-FAD9-01E9-27D1-81C443BA4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936A618-97E4-90C1-1815-326C1B712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543A-E154-4024-8E9E-BA50289CA8A2}">
  <dimension ref="A1:F7"/>
  <sheetViews>
    <sheetView tabSelected="1" workbookViewId="0">
      <selection sqref="A1:B2"/>
    </sheetView>
  </sheetViews>
  <sheetFormatPr defaultRowHeight="14.4" x14ac:dyDescent="0.3"/>
  <sheetData>
    <row r="1" spans="1:6" x14ac:dyDescent="0.3">
      <c r="A1" t="s">
        <v>0</v>
      </c>
      <c r="B1" t="s">
        <v>1</v>
      </c>
    </row>
    <row r="2" spans="1:6" x14ac:dyDescent="0.3">
      <c r="A2">
        <v>0.377</v>
      </c>
      <c r="B2">
        <v>0.13700000000000001</v>
      </c>
      <c r="E2">
        <v>23</v>
      </c>
      <c r="F2">
        <v>19.545568880000001</v>
      </c>
    </row>
    <row r="3" spans="1:6" x14ac:dyDescent="0.3">
      <c r="E3">
        <v>30</v>
      </c>
      <c r="F3">
        <v>20.02683296</v>
      </c>
    </row>
    <row r="4" spans="1:6" x14ac:dyDescent="0.3">
      <c r="E4">
        <v>40</v>
      </c>
      <c r="F4">
        <v>20.725377259999998</v>
      </c>
    </row>
    <row r="5" spans="1:6" x14ac:dyDescent="0.3">
      <c r="E5">
        <v>50</v>
      </c>
      <c r="F5">
        <v>21.477303450000001</v>
      </c>
    </row>
    <row r="6" spans="1:6" x14ac:dyDescent="0.3">
      <c r="E6">
        <v>60</v>
      </c>
      <c r="F6">
        <v>22.176555740000001</v>
      </c>
    </row>
    <row r="7" spans="1:6" x14ac:dyDescent="0.3">
      <c r="E7">
        <v>70</v>
      </c>
      <c r="F7">
        <v>22.975869939999999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1A7B-9AE5-4ACF-8E71-16B22A1E7BF4}">
  <dimension ref="A1:F12"/>
  <sheetViews>
    <sheetView workbookViewId="0">
      <selection activeCell="D4" sqref="D4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E1" t="s">
        <v>7</v>
      </c>
      <c r="F1" t="s">
        <v>5</v>
      </c>
    </row>
    <row r="2" spans="1:6" x14ac:dyDescent="0.3">
      <c r="A2">
        <v>99999</v>
      </c>
      <c r="B2">
        <v>0.75600000000000001</v>
      </c>
      <c r="C2">
        <v>3.8399999999999997E-2</v>
      </c>
      <c r="D2">
        <f>B2/C2</f>
        <v>19.687500000000004</v>
      </c>
      <c r="E2">
        <f>C2*B2</f>
        <v>2.9030399999999998E-2</v>
      </c>
      <c r="F2">
        <v>23</v>
      </c>
    </row>
    <row r="3" spans="1:6" x14ac:dyDescent="0.3">
      <c r="A3">
        <v>90000</v>
      </c>
      <c r="B3">
        <v>0.84</v>
      </c>
      <c r="C3">
        <v>4.2799999999999998E-2</v>
      </c>
      <c r="D3">
        <f t="shared" ref="D3:D12" si="0">B3/C3</f>
        <v>19.626168224299064</v>
      </c>
      <c r="E3">
        <f t="shared" ref="E3:E12" si="1">C3*B3</f>
        <v>3.5951999999999998E-2</v>
      </c>
    </row>
    <row r="4" spans="1:6" x14ac:dyDescent="0.3">
      <c r="A4">
        <v>80000</v>
      </c>
      <c r="B4">
        <v>0.94</v>
      </c>
      <c r="C4">
        <v>4.8000000000000001E-2</v>
      </c>
      <c r="D4">
        <f t="shared" si="0"/>
        <v>19.583333333333332</v>
      </c>
      <c r="E4">
        <f t="shared" si="1"/>
        <v>4.512E-2</v>
      </c>
    </row>
    <row r="5" spans="1:6" x14ac:dyDescent="0.3">
      <c r="A5">
        <v>70000</v>
      </c>
      <c r="B5">
        <v>1.07</v>
      </c>
      <c r="C5">
        <v>5.5E-2</v>
      </c>
      <c r="D5">
        <f t="shared" si="0"/>
        <v>19.454545454545457</v>
      </c>
      <c r="E5">
        <f t="shared" si="1"/>
        <v>5.8850000000000006E-2</v>
      </c>
    </row>
    <row r="6" spans="1:6" x14ac:dyDescent="0.3">
      <c r="A6">
        <v>60000</v>
      </c>
      <c r="B6">
        <v>1.25</v>
      </c>
      <c r="C6">
        <v>6.4000000000000001E-2</v>
      </c>
      <c r="D6">
        <f t="shared" si="0"/>
        <v>19.53125</v>
      </c>
      <c r="E6">
        <f t="shared" si="1"/>
        <v>0.08</v>
      </c>
    </row>
    <row r="7" spans="1:6" x14ac:dyDescent="0.3">
      <c r="A7">
        <v>50000</v>
      </c>
      <c r="B7">
        <v>1.5</v>
      </c>
      <c r="C7">
        <v>7.6999999999999999E-2</v>
      </c>
      <c r="D7">
        <f t="shared" si="0"/>
        <v>19.480519480519479</v>
      </c>
      <c r="E7">
        <f t="shared" si="1"/>
        <v>0.11549999999999999</v>
      </c>
    </row>
    <row r="8" spans="1:6" x14ac:dyDescent="0.3">
      <c r="A8">
        <v>40000</v>
      </c>
      <c r="B8">
        <v>1.88</v>
      </c>
      <c r="C8">
        <v>9.6000000000000002E-2</v>
      </c>
      <c r="D8">
        <f t="shared" si="0"/>
        <v>19.583333333333332</v>
      </c>
      <c r="E8">
        <f t="shared" si="1"/>
        <v>0.18048</v>
      </c>
    </row>
    <row r="9" spans="1:6" x14ac:dyDescent="0.3">
      <c r="A9">
        <v>30000</v>
      </c>
      <c r="B9">
        <v>2.5</v>
      </c>
      <c r="C9">
        <v>0.128</v>
      </c>
      <c r="D9">
        <f t="shared" si="0"/>
        <v>19.53125</v>
      </c>
      <c r="E9">
        <f t="shared" si="1"/>
        <v>0.32</v>
      </c>
    </row>
    <row r="10" spans="1:6" x14ac:dyDescent="0.3">
      <c r="A10">
        <v>20000</v>
      </c>
      <c r="B10">
        <v>3.75</v>
      </c>
      <c r="C10">
        <v>0.192</v>
      </c>
      <c r="D10">
        <f t="shared" si="0"/>
        <v>19.53125</v>
      </c>
      <c r="E10">
        <f t="shared" si="1"/>
        <v>0.72</v>
      </c>
    </row>
    <row r="11" spans="1:6" x14ac:dyDescent="0.3">
      <c r="A11">
        <v>10000</v>
      </c>
      <c r="B11">
        <v>7.49</v>
      </c>
      <c r="C11">
        <v>0.38400000000000001</v>
      </c>
      <c r="D11">
        <f t="shared" si="0"/>
        <v>19.505208333333332</v>
      </c>
      <c r="E11">
        <f t="shared" si="1"/>
        <v>2.87616</v>
      </c>
    </row>
    <row r="12" spans="1:6" x14ac:dyDescent="0.3">
      <c r="A12">
        <v>500</v>
      </c>
      <c r="B12">
        <v>142.80000000000001</v>
      </c>
      <c r="C12">
        <v>7.3280000000000003</v>
      </c>
      <c r="D12">
        <f t="shared" si="0"/>
        <v>19.486899563318779</v>
      </c>
      <c r="E12">
        <f t="shared" si="1"/>
        <v>1046.4384000000002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8C2C-0F56-47AD-9414-5A4F432FCCD5}">
  <dimension ref="A1:F11"/>
  <sheetViews>
    <sheetView workbookViewId="0">
      <selection activeCell="G4" sqref="G4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F1" t="s">
        <v>5</v>
      </c>
    </row>
    <row r="2" spans="1:6" x14ac:dyDescent="0.3">
      <c r="A2">
        <v>90000</v>
      </c>
      <c r="B2">
        <v>0.85</v>
      </c>
      <c r="C2">
        <v>4.2000000000000003E-2</v>
      </c>
      <c r="D2">
        <f>B2/C2</f>
        <v>20.238095238095237</v>
      </c>
      <c r="E2">
        <f>B2*C2</f>
        <v>3.5700000000000003E-2</v>
      </c>
      <c r="F2">
        <v>30</v>
      </c>
    </row>
    <row r="3" spans="1:6" x14ac:dyDescent="0.3">
      <c r="A3">
        <v>80000</v>
      </c>
      <c r="B3">
        <v>0.96</v>
      </c>
      <c r="C3">
        <v>4.8000000000000001E-2</v>
      </c>
      <c r="D3">
        <f t="shared" ref="D3:D11" si="0">B3/C3</f>
        <v>20</v>
      </c>
      <c r="E3">
        <f t="shared" ref="E3:E11" si="1">B3*C3</f>
        <v>4.6079999999999996E-2</v>
      </c>
    </row>
    <row r="4" spans="1:6" x14ac:dyDescent="0.3">
      <c r="A4">
        <v>70000</v>
      </c>
      <c r="B4">
        <v>1.1000000000000001</v>
      </c>
      <c r="C4">
        <v>5.5E-2</v>
      </c>
      <c r="D4">
        <f t="shared" si="0"/>
        <v>20</v>
      </c>
      <c r="E4">
        <f t="shared" si="1"/>
        <v>6.0500000000000005E-2</v>
      </c>
    </row>
    <row r="5" spans="1:6" x14ac:dyDescent="0.3">
      <c r="A5">
        <v>60000</v>
      </c>
      <c r="B5">
        <v>1.28</v>
      </c>
      <c r="C5">
        <v>6.4000000000000001E-2</v>
      </c>
      <c r="D5">
        <f t="shared" si="0"/>
        <v>20</v>
      </c>
      <c r="E5">
        <f t="shared" si="1"/>
        <v>8.1920000000000007E-2</v>
      </c>
    </row>
    <row r="6" spans="1:6" x14ac:dyDescent="0.3">
      <c r="A6">
        <v>50000</v>
      </c>
      <c r="B6">
        <v>1.54</v>
      </c>
      <c r="C6">
        <v>7.6999999999999999E-2</v>
      </c>
      <c r="D6">
        <f t="shared" si="0"/>
        <v>20</v>
      </c>
      <c r="E6">
        <f t="shared" si="1"/>
        <v>0.11858</v>
      </c>
    </row>
    <row r="7" spans="1:6" x14ac:dyDescent="0.3">
      <c r="A7">
        <v>40000</v>
      </c>
      <c r="B7">
        <v>1.92</v>
      </c>
      <c r="C7">
        <v>9.6000000000000002E-2</v>
      </c>
      <c r="D7">
        <f t="shared" si="0"/>
        <v>20</v>
      </c>
      <c r="E7">
        <f t="shared" si="1"/>
        <v>0.18431999999999998</v>
      </c>
    </row>
    <row r="8" spans="1:6" x14ac:dyDescent="0.3">
      <c r="A8">
        <v>30000</v>
      </c>
      <c r="B8">
        <v>2.56</v>
      </c>
      <c r="C8">
        <v>0.128</v>
      </c>
      <c r="D8">
        <f t="shared" si="0"/>
        <v>20</v>
      </c>
      <c r="E8">
        <f t="shared" si="1"/>
        <v>0.32768000000000003</v>
      </c>
    </row>
    <row r="9" spans="1:6" x14ac:dyDescent="0.3">
      <c r="A9">
        <v>20000</v>
      </c>
      <c r="B9">
        <v>3.85</v>
      </c>
      <c r="C9">
        <v>0.192</v>
      </c>
      <c r="D9">
        <f t="shared" si="0"/>
        <v>20.052083333333332</v>
      </c>
      <c r="E9">
        <f t="shared" si="1"/>
        <v>0.73920000000000008</v>
      </c>
    </row>
    <row r="10" spans="1:6" x14ac:dyDescent="0.3">
      <c r="A10">
        <v>10000</v>
      </c>
      <c r="B10">
        <v>7.68</v>
      </c>
      <c r="C10">
        <v>0.38400000000000001</v>
      </c>
      <c r="D10">
        <f t="shared" si="0"/>
        <v>20</v>
      </c>
      <c r="E10">
        <f t="shared" si="1"/>
        <v>2.9491199999999997</v>
      </c>
    </row>
    <row r="11" spans="1:6" x14ac:dyDescent="0.3">
      <c r="A11">
        <v>500</v>
      </c>
      <c r="B11">
        <v>146.30000000000001</v>
      </c>
      <c r="C11">
        <v>7.3230000000000004</v>
      </c>
      <c r="D11">
        <f t="shared" si="0"/>
        <v>19.978151030998227</v>
      </c>
      <c r="E11">
        <f t="shared" si="1"/>
        <v>1071.3549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123F-EC86-470D-9B88-EE7526B59380}">
  <dimension ref="A1:F11"/>
  <sheetViews>
    <sheetView workbookViewId="0">
      <selection activeCell="D2" sqref="D2:E10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F1" t="s">
        <v>5</v>
      </c>
    </row>
    <row r="2" spans="1:6" x14ac:dyDescent="0.3">
      <c r="A2">
        <v>90000</v>
      </c>
      <c r="B2">
        <v>0.88</v>
      </c>
      <c r="C2">
        <v>4.2000000000000003E-2</v>
      </c>
      <c r="D2">
        <f>B2/C2</f>
        <v>20.952380952380953</v>
      </c>
      <c r="E2">
        <f>C2*B2</f>
        <v>3.696E-2</v>
      </c>
      <c r="F2">
        <v>40</v>
      </c>
    </row>
    <row r="3" spans="1:6" x14ac:dyDescent="0.3">
      <c r="A3">
        <v>80000</v>
      </c>
      <c r="B3">
        <v>0.99</v>
      </c>
      <c r="C3">
        <v>4.8000000000000001E-2</v>
      </c>
      <c r="D3">
        <f t="shared" ref="D3:D11" si="0">B3/C3</f>
        <v>20.625</v>
      </c>
      <c r="E3">
        <f t="shared" ref="E3:E11" si="1">C3*B3</f>
        <v>4.752E-2</v>
      </c>
    </row>
    <row r="4" spans="1:6" x14ac:dyDescent="0.3">
      <c r="A4">
        <v>70000</v>
      </c>
      <c r="B4">
        <v>1.1399999999999999</v>
      </c>
      <c r="C4">
        <v>5.5E-2</v>
      </c>
      <c r="D4">
        <f t="shared" si="0"/>
        <v>20.727272727272727</v>
      </c>
      <c r="E4">
        <f t="shared" si="1"/>
        <v>6.2699999999999992E-2</v>
      </c>
    </row>
    <row r="5" spans="1:6" x14ac:dyDescent="0.3">
      <c r="A5">
        <v>60000</v>
      </c>
      <c r="B5">
        <v>1.33</v>
      </c>
      <c r="C5">
        <v>6.4100000000000004E-2</v>
      </c>
      <c r="D5">
        <f t="shared" si="0"/>
        <v>20.748829953198129</v>
      </c>
      <c r="E5">
        <f t="shared" si="1"/>
        <v>8.5253000000000009E-2</v>
      </c>
    </row>
    <row r="6" spans="1:6" x14ac:dyDescent="0.3">
      <c r="A6">
        <v>50000</v>
      </c>
      <c r="B6">
        <v>1.59</v>
      </c>
      <c r="C6">
        <v>7.6999999999999999E-2</v>
      </c>
      <c r="D6">
        <f t="shared" si="0"/>
        <v>20.649350649350652</v>
      </c>
      <c r="E6">
        <f t="shared" si="1"/>
        <v>0.12243000000000001</v>
      </c>
    </row>
    <row r="7" spans="1:6" x14ac:dyDescent="0.3">
      <c r="A7">
        <v>40000</v>
      </c>
      <c r="B7">
        <v>1.99</v>
      </c>
      <c r="C7">
        <v>9.6000000000000002E-2</v>
      </c>
      <c r="D7">
        <f t="shared" si="0"/>
        <v>20.729166666666668</v>
      </c>
      <c r="E7">
        <f t="shared" si="1"/>
        <v>0.19104000000000002</v>
      </c>
    </row>
    <row r="8" spans="1:6" x14ac:dyDescent="0.3">
      <c r="A8">
        <v>30000</v>
      </c>
      <c r="B8">
        <v>2.65</v>
      </c>
      <c r="C8">
        <v>0.128</v>
      </c>
      <c r="D8">
        <f t="shared" si="0"/>
        <v>20.703125</v>
      </c>
      <c r="E8">
        <f t="shared" si="1"/>
        <v>0.3392</v>
      </c>
    </row>
    <row r="9" spans="1:6" x14ac:dyDescent="0.3">
      <c r="A9">
        <v>20000</v>
      </c>
      <c r="B9">
        <v>3.98</v>
      </c>
      <c r="C9">
        <v>0.192</v>
      </c>
      <c r="D9">
        <f t="shared" si="0"/>
        <v>20.729166666666668</v>
      </c>
      <c r="E9">
        <f t="shared" si="1"/>
        <v>0.76416000000000006</v>
      </c>
    </row>
    <row r="10" spans="1:6" x14ac:dyDescent="0.3">
      <c r="A10">
        <v>10000</v>
      </c>
      <c r="B10">
        <v>7.95</v>
      </c>
      <c r="C10">
        <v>0.38400000000000001</v>
      </c>
      <c r="D10">
        <f t="shared" si="0"/>
        <v>20.703125</v>
      </c>
      <c r="E10">
        <f t="shared" si="1"/>
        <v>3.0528</v>
      </c>
    </row>
    <row r="11" spans="1:6" x14ac:dyDescent="0.3">
      <c r="A11">
        <v>500</v>
      </c>
      <c r="B11">
        <v>151.30000000000001</v>
      </c>
      <c r="C11">
        <v>7.3140000000000001</v>
      </c>
      <c r="D11">
        <f t="shared" si="0"/>
        <v>20.686354935739679</v>
      </c>
      <c r="E11">
        <f t="shared" si="1"/>
        <v>1106.6082000000001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90397-8744-49D9-8B47-A6AACA4FA285}">
  <dimension ref="A1:F11"/>
  <sheetViews>
    <sheetView workbookViewId="0">
      <selection activeCell="D2" sqref="D2:E9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F1" t="s">
        <v>5</v>
      </c>
    </row>
    <row r="2" spans="1:6" x14ac:dyDescent="0.3">
      <c r="A2">
        <v>90000</v>
      </c>
      <c r="B2">
        <v>0.91</v>
      </c>
      <c r="C2">
        <v>4.2000000000000003E-2</v>
      </c>
      <c r="D2">
        <f>B2/C2</f>
        <v>21.666666666666664</v>
      </c>
      <c r="E2">
        <f>B2*C2</f>
        <v>3.8220000000000004E-2</v>
      </c>
      <c r="F2">
        <v>50</v>
      </c>
    </row>
    <row r="3" spans="1:6" x14ac:dyDescent="0.3">
      <c r="A3">
        <v>80000</v>
      </c>
      <c r="B3">
        <v>1.03</v>
      </c>
      <c r="C3">
        <v>4.8000000000000001E-2</v>
      </c>
      <c r="D3">
        <f t="shared" ref="D3:D11" si="0">B3/C3</f>
        <v>21.458333333333332</v>
      </c>
      <c r="E3">
        <f t="shared" ref="E3:E11" si="1">B3*C3</f>
        <v>4.9440000000000005E-2</v>
      </c>
    </row>
    <row r="4" spans="1:6" x14ac:dyDescent="0.3">
      <c r="A4">
        <v>70000</v>
      </c>
      <c r="B4">
        <v>1.18</v>
      </c>
      <c r="C4">
        <v>5.5E-2</v>
      </c>
      <c r="D4">
        <f t="shared" si="0"/>
        <v>21.454545454545453</v>
      </c>
      <c r="E4">
        <f t="shared" si="1"/>
        <v>6.4899999999999999E-2</v>
      </c>
    </row>
    <row r="5" spans="1:6" x14ac:dyDescent="0.3">
      <c r="A5">
        <v>60000</v>
      </c>
      <c r="B5">
        <v>1.38</v>
      </c>
      <c r="C5">
        <v>6.4000000000000001E-2</v>
      </c>
      <c r="D5">
        <f t="shared" si="0"/>
        <v>21.562499999999996</v>
      </c>
      <c r="E5">
        <f t="shared" si="1"/>
        <v>8.8319999999999996E-2</v>
      </c>
    </row>
    <row r="6" spans="1:6" x14ac:dyDescent="0.3">
      <c r="A6">
        <v>50000</v>
      </c>
      <c r="B6">
        <v>1.65</v>
      </c>
      <c r="C6">
        <v>7.6999999999999999E-2</v>
      </c>
      <c r="D6">
        <f t="shared" si="0"/>
        <v>21.428571428571427</v>
      </c>
      <c r="E6">
        <f t="shared" si="1"/>
        <v>0.12705</v>
      </c>
    </row>
    <row r="7" spans="1:6" x14ac:dyDescent="0.3">
      <c r="A7">
        <v>40000</v>
      </c>
      <c r="B7">
        <v>2.06</v>
      </c>
      <c r="C7">
        <v>9.6000000000000002E-2</v>
      </c>
      <c r="D7">
        <f t="shared" si="0"/>
        <v>21.458333333333332</v>
      </c>
      <c r="E7">
        <f t="shared" si="1"/>
        <v>0.19776000000000002</v>
      </c>
    </row>
    <row r="8" spans="1:6" x14ac:dyDescent="0.3">
      <c r="A8">
        <v>30000</v>
      </c>
      <c r="B8">
        <v>2.75</v>
      </c>
      <c r="C8">
        <v>0.128</v>
      </c>
      <c r="D8">
        <f t="shared" si="0"/>
        <v>21.484375</v>
      </c>
      <c r="E8">
        <f t="shared" si="1"/>
        <v>0.35199999999999998</v>
      </c>
    </row>
    <row r="9" spans="1:6" x14ac:dyDescent="0.3">
      <c r="A9">
        <v>20000</v>
      </c>
      <c r="B9">
        <v>4.12</v>
      </c>
      <c r="C9">
        <v>0.192</v>
      </c>
      <c r="D9">
        <f t="shared" si="0"/>
        <v>21.458333333333332</v>
      </c>
      <c r="E9">
        <f t="shared" si="1"/>
        <v>0.79104000000000008</v>
      </c>
    </row>
    <row r="10" spans="1:6" x14ac:dyDescent="0.3">
      <c r="A10">
        <v>10000</v>
      </c>
      <c r="B10">
        <v>8.2200000000000006</v>
      </c>
      <c r="C10">
        <v>0.38400000000000001</v>
      </c>
      <c r="D10">
        <f t="shared" si="0"/>
        <v>21.40625</v>
      </c>
      <c r="E10">
        <f t="shared" si="1"/>
        <v>3.1564800000000002</v>
      </c>
    </row>
    <row r="11" spans="1:6" x14ac:dyDescent="0.3">
      <c r="A11">
        <v>500</v>
      </c>
      <c r="B11">
        <v>156.27000000000001</v>
      </c>
      <c r="C11">
        <v>7.3040000000000003</v>
      </c>
      <c r="D11">
        <f t="shared" si="0"/>
        <v>21.395125958378973</v>
      </c>
      <c r="E11">
        <f t="shared" si="1"/>
        <v>1141.3960800000002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32A6-849B-40B5-8BA6-E311D142CD87}">
  <dimension ref="A1:F11"/>
  <sheetViews>
    <sheetView workbookViewId="0">
      <selection activeCell="D2" sqref="D2:E9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E1" t="s">
        <v>7</v>
      </c>
      <c r="F1" t="s">
        <v>5</v>
      </c>
    </row>
    <row r="2" spans="1:6" x14ac:dyDescent="0.3">
      <c r="A2">
        <v>90000</v>
      </c>
      <c r="B2">
        <v>0.95</v>
      </c>
      <c r="C2">
        <v>4.2999999999999997E-2</v>
      </c>
      <c r="D2">
        <f>B2/C2</f>
        <v>22.093023255813954</v>
      </c>
      <c r="E2">
        <f>B2*C2</f>
        <v>4.0849999999999997E-2</v>
      </c>
      <c r="F2">
        <v>60</v>
      </c>
    </row>
    <row r="3" spans="1:6" x14ac:dyDescent="0.3">
      <c r="A3">
        <v>80000</v>
      </c>
      <c r="B3">
        <v>1.07</v>
      </c>
      <c r="C3">
        <v>4.8000000000000001E-2</v>
      </c>
      <c r="D3">
        <f t="shared" ref="D3:D11" si="0">B3/C3</f>
        <v>22.291666666666668</v>
      </c>
      <c r="E3">
        <f t="shared" ref="E3:E11" si="1">B3*C3</f>
        <v>5.1360000000000003E-2</v>
      </c>
    </row>
    <row r="4" spans="1:6" x14ac:dyDescent="0.3">
      <c r="A4">
        <v>70000</v>
      </c>
      <c r="B4">
        <v>1.22</v>
      </c>
      <c r="C4">
        <v>5.5E-2</v>
      </c>
      <c r="D4">
        <f t="shared" si="0"/>
        <v>22.18181818181818</v>
      </c>
      <c r="E4">
        <f t="shared" si="1"/>
        <v>6.7099999999999993E-2</v>
      </c>
    </row>
    <row r="5" spans="1:6" x14ac:dyDescent="0.3">
      <c r="A5">
        <v>60000</v>
      </c>
      <c r="B5">
        <v>1.42</v>
      </c>
      <c r="C5">
        <v>6.4000000000000001E-2</v>
      </c>
      <c r="D5">
        <f t="shared" si="0"/>
        <v>22.1875</v>
      </c>
      <c r="E5">
        <f t="shared" si="1"/>
        <v>9.0880000000000002E-2</v>
      </c>
    </row>
    <row r="6" spans="1:6" x14ac:dyDescent="0.3">
      <c r="A6">
        <v>50000</v>
      </c>
      <c r="B6">
        <v>1.71</v>
      </c>
      <c r="C6">
        <v>7.6999999999999999E-2</v>
      </c>
      <c r="D6">
        <f t="shared" si="0"/>
        <v>22.207792207792206</v>
      </c>
      <c r="E6">
        <f t="shared" si="1"/>
        <v>0.13167000000000001</v>
      </c>
    </row>
    <row r="7" spans="1:6" x14ac:dyDescent="0.3">
      <c r="A7">
        <v>40000</v>
      </c>
      <c r="B7">
        <v>2.13</v>
      </c>
      <c r="C7">
        <v>9.6000000000000002E-2</v>
      </c>
      <c r="D7">
        <f t="shared" si="0"/>
        <v>22.1875</v>
      </c>
      <c r="E7">
        <f t="shared" si="1"/>
        <v>0.20448</v>
      </c>
    </row>
    <row r="8" spans="1:6" x14ac:dyDescent="0.3">
      <c r="A8">
        <v>30000</v>
      </c>
      <c r="B8">
        <v>2.84</v>
      </c>
      <c r="C8">
        <v>0.128</v>
      </c>
      <c r="D8">
        <f t="shared" si="0"/>
        <v>22.1875</v>
      </c>
      <c r="E8">
        <f t="shared" si="1"/>
        <v>0.36352000000000001</v>
      </c>
    </row>
    <row r="9" spans="1:6" x14ac:dyDescent="0.3">
      <c r="A9">
        <v>20000</v>
      </c>
      <c r="B9">
        <v>4.26</v>
      </c>
      <c r="C9">
        <v>0.192</v>
      </c>
      <c r="D9">
        <f t="shared" si="0"/>
        <v>22.1875</v>
      </c>
      <c r="E9">
        <f t="shared" si="1"/>
        <v>0.81791999999999998</v>
      </c>
    </row>
    <row r="10" spans="1:6" x14ac:dyDescent="0.3">
      <c r="A10">
        <v>10000</v>
      </c>
      <c r="B10">
        <v>8.5</v>
      </c>
      <c r="C10">
        <v>0.38400000000000001</v>
      </c>
      <c r="D10">
        <f t="shared" si="0"/>
        <v>22.135416666666668</v>
      </c>
      <c r="E10">
        <f t="shared" si="1"/>
        <v>3.2640000000000002</v>
      </c>
    </row>
    <row r="11" spans="1:6" x14ac:dyDescent="0.3">
      <c r="A11">
        <v>500</v>
      </c>
      <c r="B11">
        <v>161.24</v>
      </c>
      <c r="C11">
        <v>7.2939999999999996</v>
      </c>
      <c r="D11">
        <f t="shared" si="0"/>
        <v>22.105840416780918</v>
      </c>
      <c r="E11">
        <f t="shared" si="1"/>
        <v>1176.08456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E2D1-E5C1-4B51-98B0-D40D1BD508FE}">
  <dimension ref="A1:F11"/>
  <sheetViews>
    <sheetView workbookViewId="0">
      <selection activeCell="E3" sqref="E3"/>
    </sheetView>
  </sheetViews>
  <sheetFormatPr defaultRowHeight="14.4" x14ac:dyDescent="0.3"/>
  <sheetData>
    <row r="1" spans="1:6" x14ac:dyDescent="0.3">
      <c r="A1" t="s">
        <v>4</v>
      </c>
      <c r="B1" t="s">
        <v>3</v>
      </c>
      <c r="C1" t="s">
        <v>2</v>
      </c>
      <c r="D1" t="s">
        <v>6</v>
      </c>
      <c r="F1" t="s">
        <v>5</v>
      </c>
    </row>
    <row r="2" spans="1:6" x14ac:dyDescent="0.3">
      <c r="A2">
        <v>90000</v>
      </c>
      <c r="B2">
        <v>0.99</v>
      </c>
      <c r="C2">
        <v>4.2999999999999997E-2</v>
      </c>
      <c r="D2">
        <f>B2/C2</f>
        <v>23.02325581395349</v>
      </c>
      <c r="E2">
        <f>B2*C2</f>
        <v>4.2569999999999997E-2</v>
      </c>
      <c r="F2">
        <v>70</v>
      </c>
    </row>
    <row r="3" spans="1:6" x14ac:dyDescent="0.3">
      <c r="A3">
        <v>80000</v>
      </c>
      <c r="B3">
        <v>1.1100000000000001</v>
      </c>
      <c r="C3">
        <v>4.8000000000000001E-2</v>
      </c>
      <c r="D3">
        <f t="shared" ref="D3:D11" si="0">B3/C3</f>
        <v>23.125</v>
      </c>
      <c r="E3">
        <f t="shared" ref="E3:E11" si="1">B3*C3</f>
        <v>5.3280000000000008E-2</v>
      </c>
    </row>
    <row r="4" spans="1:6" x14ac:dyDescent="0.3">
      <c r="A4">
        <v>70000</v>
      </c>
      <c r="B4">
        <v>1.26</v>
      </c>
      <c r="C4">
        <v>5.5E-2</v>
      </c>
      <c r="D4">
        <f t="shared" si="0"/>
        <v>22.90909090909091</v>
      </c>
      <c r="E4">
        <f t="shared" si="1"/>
        <v>6.93E-2</v>
      </c>
    </row>
    <row r="5" spans="1:6" x14ac:dyDescent="0.3">
      <c r="A5">
        <v>60000</v>
      </c>
      <c r="B5">
        <v>1.48</v>
      </c>
      <c r="C5">
        <v>6.4000000000000001E-2</v>
      </c>
      <c r="D5">
        <f t="shared" si="0"/>
        <v>23.125</v>
      </c>
      <c r="E5">
        <f t="shared" si="1"/>
        <v>9.4719999999999999E-2</v>
      </c>
    </row>
    <row r="6" spans="1:6" x14ac:dyDescent="0.3">
      <c r="A6">
        <v>50000</v>
      </c>
      <c r="B6">
        <v>1.77</v>
      </c>
      <c r="C6">
        <v>7.6999999999999999E-2</v>
      </c>
      <c r="D6">
        <f t="shared" si="0"/>
        <v>22.987012987012989</v>
      </c>
      <c r="E6">
        <f t="shared" si="1"/>
        <v>0.13628999999999999</v>
      </c>
    </row>
    <row r="7" spans="1:6" x14ac:dyDescent="0.3">
      <c r="A7">
        <v>40000</v>
      </c>
      <c r="B7">
        <v>2.21</v>
      </c>
      <c r="C7">
        <v>9.6000000000000002E-2</v>
      </c>
      <c r="D7">
        <f t="shared" si="0"/>
        <v>23.020833333333332</v>
      </c>
      <c r="E7">
        <f t="shared" si="1"/>
        <v>0.21215999999999999</v>
      </c>
    </row>
    <row r="8" spans="1:6" x14ac:dyDescent="0.3">
      <c r="A8">
        <v>30000</v>
      </c>
      <c r="B8">
        <v>2.94</v>
      </c>
      <c r="C8">
        <v>0.128</v>
      </c>
      <c r="D8">
        <f t="shared" si="0"/>
        <v>22.96875</v>
      </c>
      <c r="E8">
        <f t="shared" si="1"/>
        <v>0.37631999999999999</v>
      </c>
    </row>
    <row r="9" spans="1:6" x14ac:dyDescent="0.3">
      <c r="A9">
        <v>20000</v>
      </c>
      <c r="B9">
        <v>4.4000000000000004</v>
      </c>
      <c r="C9">
        <v>0.192</v>
      </c>
      <c r="D9">
        <f t="shared" si="0"/>
        <v>22.916666666666668</v>
      </c>
      <c r="E9">
        <f t="shared" si="1"/>
        <v>0.84480000000000011</v>
      </c>
    </row>
    <row r="10" spans="1:6" x14ac:dyDescent="0.3">
      <c r="A10">
        <v>10000</v>
      </c>
      <c r="B10">
        <v>8.7799999999999994</v>
      </c>
      <c r="C10">
        <v>0.38400000000000001</v>
      </c>
      <c r="D10">
        <f t="shared" si="0"/>
        <v>22.864583333333332</v>
      </c>
      <c r="E10">
        <f t="shared" si="1"/>
        <v>3.3715199999999999</v>
      </c>
    </row>
    <row r="11" spans="1:6" x14ac:dyDescent="0.3">
      <c r="A11">
        <v>500</v>
      </c>
      <c r="B11">
        <v>166.21</v>
      </c>
      <c r="C11">
        <v>7.2839999999999998</v>
      </c>
      <c r="D11">
        <f t="shared" si="0"/>
        <v>22.818506315211422</v>
      </c>
      <c r="E11">
        <f t="shared" si="1"/>
        <v>1210.67364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E39E-89CD-414B-92A0-745772FE8E7E}">
  <dimension ref="A1:J12"/>
  <sheetViews>
    <sheetView workbookViewId="0">
      <selection activeCell="H20" sqref="H20"/>
    </sheetView>
  </sheetViews>
  <sheetFormatPr defaultRowHeight="14.4" x14ac:dyDescent="0.3"/>
  <sheetData>
    <row r="1" spans="1:10" x14ac:dyDescent="0.3">
      <c r="A1" s="1" t="s">
        <v>5</v>
      </c>
      <c r="B1" s="3">
        <v>23</v>
      </c>
      <c r="C1" s="3"/>
      <c r="D1" s="3"/>
      <c r="E1" s="3">
        <v>30</v>
      </c>
      <c r="F1" s="3"/>
      <c r="G1" s="3"/>
      <c r="H1" s="3">
        <v>40</v>
      </c>
      <c r="I1" s="3"/>
      <c r="J1" s="3"/>
    </row>
    <row r="2" spans="1:10" x14ac:dyDescent="0.3">
      <c r="A2" s="1" t="s">
        <v>4</v>
      </c>
      <c r="B2" s="1" t="s">
        <v>3</v>
      </c>
      <c r="C2" s="1" t="s">
        <v>2</v>
      </c>
      <c r="D2" s="1" t="s">
        <v>6</v>
      </c>
      <c r="E2" s="1" t="s">
        <v>3</v>
      </c>
      <c r="F2" s="1" t="s">
        <v>2</v>
      </c>
      <c r="G2" s="1" t="s">
        <v>6</v>
      </c>
      <c r="H2" s="1" t="s">
        <v>3</v>
      </c>
      <c r="I2" s="1" t="s">
        <v>2</v>
      </c>
      <c r="J2" s="1" t="s">
        <v>6</v>
      </c>
    </row>
    <row r="3" spans="1:10" x14ac:dyDescent="0.3">
      <c r="A3" s="1">
        <v>90000</v>
      </c>
      <c r="B3" s="2">
        <v>0.84</v>
      </c>
      <c r="C3" s="2">
        <v>4.2799999999999998E-2</v>
      </c>
      <c r="D3" s="2">
        <f t="shared" ref="D3:D12" si="0">B3/C3</f>
        <v>19.626168224299064</v>
      </c>
      <c r="E3" s="2">
        <v>0.85</v>
      </c>
      <c r="F3" s="2">
        <v>4.2000000000000003E-2</v>
      </c>
      <c r="G3" s="2">
        <f>E3/F3</f>
        <v>20.238095238095237</v>
      </c>
      <c r="H3" s="2">
        <v>0.88</v>
      </c>
      <c r="I3" s="2">
        <v>4.2000000000000003E-2</v>
      </c>
      <c r="J3" s="2">
        <f>H3/I3</f>
        <v>20.952380952380953</v>
      </c>
    </row>
    <row r="4" spans="1:10" x14ac:dyDescent="0.3">
      <c r="A4" s="1">
        <v>80000</v>
      </c>
      <c r="B4" s="2">
        <v>0.94</v>
      </c>
      <c r="C4" s="2">
        <v>4.8000000000000001E-2</v>
      </c>
      <c r="D4" s="2">
        <f t="shared" si="0"/>
        <v>19.583333333333332</v>
      </c>
      <c r="E4" s="2">
        <v>0.96</v>
      </c>
      <c r="F4" s="2">
        <v>4.8000000000000001E-2</v>
      </c>
      <c r="G4" s="2">
        <f t="shared" ref="G4:G12" si="1">E4/F4</f>
        <v>20</v>
      </c>
      <c r="H4" s="2">
        <v>0.99</v>
      </c>
      <c r="I4" s="2">
        <v>0.48</v>
      </c>
      <c r="J4" s="2">
        <f t="shared" ref="J4:J12" si="2">H4/I4</f>
        <v>2.0625</v>
      </c>
    </row>
    <row r="5" spans="1:10" x14ac:dyDescent="0.3">
      <c r="A5" s="1">
        <v>70000</v>
      </c>
      <c r="B5" s="2">
        <v>1.07</v>
      </c>
      <c r="C5" s="2">
        <v>5.5E-2</v>
      </c>
      <c r="D5" s="2">
        <f t="shared" si="0"/>
        <v>19.454545454545457</v>
      </c>
      <c r="E5" s="2">
        <v>1.1000000000000001</v>
      </c>
      <c r="F5" s="2">
        <v>5.5E-2</v>
      </c>
      <c r="G5" s="2">
        <f t="shared" si="1"/>
        <v>20</v>
      </c>
      <c r="H5" s="2">
        <v>1.1399999999999999</v>
      </c>
      <c r="I5" s="2">
        <v>5.5E-2</v>
      </c>
      <c r="J5" s="2">
        <f t="shared" si="2"/>
        <v>20.727272727272727</v>
      </c>
    </row>
    <row r="6" spans="1:10" x14ac:dyDescent="0.3">
      <c r="A6" s="1">
        <v>60000</v>
      </c>
      <c r="B6" s="2">
        <v>1.25</v>
      </c>
      <c r="C6" s="2">
        <v>6.4000000000000001E-2</v>
      </c>
      <c r="D6" s="2">
        <f t="shared" si="0"/>
        <v>19.53125</v>
      </c>
      <c r="E6" s="2">
        <v>1.28</v>
      </c>
      <c r="F6" s="2">
        <v>6.4000000000000001E-2</v>
      </c>
      <c r="G6" s="2">
        <f t="shared" si="1"/>
        <v>20</v>
      </c>
      <c r="H6" s="2">
        <v>1.33</v>
      </c>
      <c r="I6" s="2">
        <v>6.4100000000000004E-2</v>
      </c>
      <c r="J6" s="2">
        <f t="shared" si="2"/>
        <v>20.748829953198129</v>
      </c>
    </row>
    <row r="7" spans="1:10" x14ac:dyDescent="0.3">
      <c r="A7" s="1">
        <v>50000</v>
      </c>
      <c r="B7" s="2">
        <v>1.5</v>
      </c>
      <c r="C7" s="2">
        <v>7.6999999999999999E-2</v>
      </c>
      <c r="D7" s="2">
        <f t="shared" si="0"/>
        <v>19.480519480519479</v>
      </c>
      <c r="E7" s="2">
        <v>1.54</v>
      </c>
      <c r="F7" s="2">
        <v>7.6999999999999999E-2</v>
      </c>
      <c r="G7" s="2">
        <f t="shared" si="1"/>
        <v>20</v>
      </c>
      <c r="H7" s="2">
        <v>1.59</v>
      </c>
      <c r="I7" s="2">
        <v>7.6999999999999999E-2</v>
      </c>
      <c r="J7" s="2">
        <f t="shared" si="2"/>
        <v>20.649350649350652</v>
      </c>
    </row>
    <row r="8" spans="1:10" x14ac:dyDescent="0.3">
      <c r="A8" s="1">
        <v>40000</v>
      </c>
      <c r="B8" s="2">
        <v>1.88</v>
      </c>
      <c r="C8" s="2">
        <v>9.6000000000000002E-2</v>
      </c>
      <c r="D8" s="2">
        <f t="shared" si="0"/>
        <v>19.583333333333332</v>
      </c>
      <c r="E8" s="2">
        <v>1.92</v>
      </c>
      <c r="F8" s="2">
        <v>9.6000000000000002E-2</v>
      </c>
      <c r="G8" s="2">
        <f t="shared" si="1"/>
        <v>20</v>
      </c>
      <c r="H8" s="2">
        <v>1.99</v>
      </c>
      <c r="I8" s="2">
        <v>9.6000000000000002E-2</v>
      </c>
      <c r="J8" s="2">
        <f t="shared" si="2"/>
        <v>20.729166666666668</v>
      </c>
    </row>
    <row r="9" spans="1:10" x14ac:dyDescent="0.3">
      <c r="A9" s="1">
        <v>30000</v>
      </c>
      <c r="B9" s="2">
        <v>2.5</v>
      </c>
      <c r="C9" s="2">
        <v>0.128</v>
      </c>
      <c r="D9" s="2">
        <f t="shared" si="0"/>
        <v>19.53125</v>
      </c>
      <c r="E9" s="2">
        <v>2.56</v>
      </c>
      <c r="F9" s="2">
        <v>0.128</v>
      </c>
      <c r="G9" s="2">
        <f t="shared" si="1"/>
        <v>20</v>
      </c>
      <c r="H9" s="2">
        <v>2.65</v>
      </c>
      <c r="I9" s="2">
        <v>0.128</v>
      </c>
      <c r="J9" s="2">
        <f t="shared" si="2"/>
        <v>20.703125</v>
      </c>
    </row>
    <row r="10" spans="1:10" x14ac:dyDescent="0.3">
      <c r="A10" s="1">
        <v>20000</v>
      </c>
      <c r="B10" s="2">
        <v>3.75</v>
      </c>
      <c r="C10" s="2">
        <v>0.192</v>
      </c>
      <c r="D10" s="2">
        <f t="shared" si="0"/>
        <v>19.53125</v>
      </c>
      <c r="E10" s="2">
        <v>3.85</v>
      </c>
      <c r="F10" s="2">
        <v>0.192</v>
      </c>
      <c r="G10" s="2">
        <f t="shared" si="1"/>
        <v>20.052083333333332</v>
      </c>
      <c r="H10" s="2">
        <v>3.98</v>
      </c>
      <c r="I10" s="2">
        <v>0.192</v>
      </c>
      <c r="J10" s="2">
        <f t="shared" si="2"/>
        <v>20.729166666666668</v>
      </c>
    </row>
    <row r="11" spans="1:10" x14ac:dyDescent="0.3">
      <c r="A11" s="1">
        <v>10000</v>
      </c>
      <c r="B11" s="2">
        <v>7.49</v>
      </c>
      <c r="C11" s="2">
        <v>0.38400000000000001</v>
      </c>
      <c r="D11" s="2">
        <f t="shared" si="0"/>
        <v>19.505208333333332</v>
      </c>
      <c r="E11" s="2">
        <v>7.68</v>
      </c>
      <c r="F11" s="2">
        <v>0.38400000000000001</v>
      </c>
      <c r="G11" s="2">
        <f t="shared" si="1"/>
        <v>20</v>
      </c>
      <c r="H11" s="2">
        <v>7.95</v>
      </c>
      <c r="I11" s="2">
        <v>0.38400000000000001</v>
      </c>
      <c r="J11" s="2">
        <f t="shared" si="2"/>
        <v>20.703125</v>
      </c>
    </row>
    <row r="12" spans="1:10" x14ac:dyDescent="0.3">
      <c r="A12" s="1">
        <v>500</v>
      </c>
      <c r="B12" s="2">
        <v>142.80000000000001</v>
      </c>
      <c r="C12" s="2">
        <v>7.3280000000000003</v>
      </c>
      <c r="D12" s="2">
        <f t="shared" si="0"/>
        <v>19.486899563318779</v>
      </c>
      <c r="E12" s="2">
        <v>146.30000000000001</v>
      </c>
      <c r="F12" s="2">
        <v>7.3230000000000004</v>
      </c>
      <c r="G12" s="2">
        <f t="shared" si="1"/>
        <v>19.978151030998227</v>
      </c>
      <c r="H12" s="2">
        <v>151.30000000000001</v>
      </c>
      <c r="I12" s="2">
        <v>7.3140000000000001</v>
      </c>
      <c r="J12" s="2">
        <f t="shared" si="2"/>
        <v>20.686354935739679</v>
      </c>
    </row>
  </sheetData>
  <mergeCells count="3">
    <mergeCell ref="B1:D1"/>
    <mergeCell ref="E1:G1"/>
    <mergeCell ref="H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23</vt:lpstr>
      <vt:lpstr>30</vt:lpstr>
      <vt:lpstr>40</vt:lpstr>
      <vt:lpstr>50</vt:lpstr>
      <vt:lpstr>60</vt:lpstr>
      <vt:lpstr>70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2025-03-24T06:13:39Z</dcterms:created>
  <dcterms:modified xsi:type="dcterms:W3CDTF">2025-03-29T19:41:15Z</dcterms:modified>
</cp:coreProperties>
</file>