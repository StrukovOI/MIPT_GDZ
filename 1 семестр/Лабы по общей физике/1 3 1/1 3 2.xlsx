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1 3 1\"/>
    </mc:Choice>
  </mc:AlternateContent>
  <xr:revisionPtr revIDLastSave="0" documentId="13_ncr:1_{A9DC794B-9AD1-4B7F-80C6-8156B930A32F}" xr6:coauthVersionLast="47" xr6:coauthVersionMax="47" xr10:uidLastSave="{00000000-0000-0000-0000-000000000000}"/>
  <bookViews>
    <workbookView xWindow="-108" yWindow="-108" windowWidth="23256" windowHeight="13896" xr2:uid="{346E67CD-37B1-4DA2-AD2B-D2EAD7F7F05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P15" i="1"/>
  <c r="N15" i="1"/>
  <c r="J16" i="1" s="1"/>
  <c r="Q2" i="1" l="1"/>
  <c r="G3" i="1" l="1"/>
  <c r="O2" i="1"/>
  <c r="I8" i="1"/>
  <c r="H8" i="1"/>
  <c r="P8" i="1" s="1"/>
  <c r="R21" i="1" s="1"/>
  <c r="I7" i="1"/>
  <c r="H7" i="1"/>
  <c r="P7" i="1" s="1"/>
  <c r="R20" i="1" s="1"/>
  <c r="I6" i="1"/>
  <c r="H6" i="1"/>
  <c r="J6" i="1" s="1"/>
  <c r="I5" i="1"/>
  <c r="H5" i="1"/>
  <c r="P5" i="1" s="1"/>
  <c r="R18" i="1" s="1"/>
  <c r="I4" i="1"/>
  <c r="H4" i="1"/>
  <c r="I3" i="1"/>
  <c r="H3" i="1"/>
  <c r="I2" i="1"/>
  <c r="H2" i="1"/>
  <c r="P2" i="1" s="1"/>
  <c r="R15" i="1" s="1"/>
  <c r="E3" i="1"/>
  <c r="E2" i="1"/>
  <c r="O15" i="1" l="1"/>
  <c r="J4" i="1"/>
  <c r="J2" i="1"/>
  <c r="J3" i="1"/>
  <c r="P4" i="1"/>
  <c r="R17" i="1" s="1"/>
  <c r="Q15" i="1"/>
  <c r="J7" i="1"/>
  <c r="P6" i="1"/>
  <c r="R19" i="1" s="1"/>
  <c r="P3" i="1"/>
  <c r="J5" i="1"/>
  <c r="M15" i="1"/>
  <c r="J8" i="1"/>
  <c r="Q3" i="1"/>
  <c r="O3" i="1" s="1"/>
  <c r="G4" i="1"/>
  <c r="R16" i="1" l="1"/>
  <c r="Q16" i="1"/>
  <c r="G5" i="1"/>
  <c r="Q4" i="1"/>
  <c r="O4" i="1" s="1"/>
  <c r="M16" i="1"/>
  <c r="O16" i="1"/>
  <c r="M17" i="1" l="1"/>
  <c r="O17" i="1"/>
  <c r="Q17" i="1"/>
  <c r="G6" i="1"/>
  <c r="Q5" i="1"/>
  <c r="O5" i="1" s="1"/>
  <c r="G7" i="1" l="1"/>
  <c r="Q6" i="1"/>
  <c r="O6" i="1" s="1"/>
  <c r="M18" i="1"/>
  <c r="O18" i="1"/>
  <c r="Q18" i="1"/>
  <c r="M19" i="1" l="1"/>
  <c r="O19" i="1"/>
  <c r="Q19" i="1"/>
  <c r="G8" i="1"/>
  <c r="Q8" i="1" s="1"/>
  <c r="O8" i="1" s="1"/>
  <c r="Q7" i="1"/>
  <c r="O7" i="1" s="1"/>
  <c r="J15" i="1" s="1"/>
  <c r="O20" i="1" l="1"/>
  <c r="M20" i="1"/>
  <c r="Q20" i="1"/>
  <c r="O21" i="1"/>
  <c r="L15" i="1" s="1"/>
  <c r="M21" i="1"/>
  <c r="K15" i="1" s="1"/>
  <c r="Q21" i="1"/>
</calcChain>
</file>

<file path=xl/sharedStrings.xml><?xml version="1.0" encoding="utf-8"?>
<sst xmlns="http://schemas.openxmlformats.org/spreadsheetml/2006/main" count="35" uniqueCount="34">
  <si>
    <t>Проволока</t>
  </si>
  <si>
    <t>Период</t>
  </si>
  <si>
    <t>Градусы</t>
  </si>
  <si>
    <t>Длина до оси (L), см</t>
  </si>
  <si>
    <t>Период Т, с</t>
  </si>
  <si>
    <t>Диаметр, мм</t>
  </si>
  <si>
    <t>Погрешность L</t>
  </si>
  <si>
    <t>1 мм</t>
  </si>
  <si>
    <t>Погрешность Т</t>
  </si>
  <si>
    <t>0,03с</t>
  </si>
  <si>
    <t>Погрешность d</t>
  </si>
  <si>
    <t>0,2 мм</t>
  </si>
  <si>
    <t>Масса, г</t>
  </si>
  <si>
    <t>373 +-0,1</t>
  </si>
  <si>
    <t>Т^2</t>
  </si>
  <si>
    <t>a</t>
  </si>
  <si>
    <t>a^2</t>
  </si>
  <si>
    <t>в формулу подставлять массу одного груза</t>
  </si>
  <si>
    <t>T^2=0,08*a^2+1,569</t>
  </si>
  <si>
    <t>Длина Цилиндра, см</t>
  </si>
  <si>
    <t>Диаметр центрального цилиндра, см</t>
  </si>
  <si>
    <t>среднее</t>
  </si>
  <si>
    <t>k из графика</t>
  </si>
  <si>
    <t>k по МНК</t>
  </si>
  <si>
    <t>ср ху</t>
  </si>
  <si>
    <t>ср х ср у</t>
  </si>
  <si>
    <t>ср х2</t>
  </si>
  <si>
    <t>ср2 х</t>
  </si>
  <si>
    <t>другой мнк</t>
  </si>
  <si>
    <t>третий мнк</t>
  </si>
  <si>
    <t>Слагаемое</t>
  </si>
  <si>
    <t>сигма к</t>
  </si>
  <si>
    <t>отдельно</t>
  </si>
  <si>
    <t>ср у2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</si>
</sst>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Лист1!$P$1</c:f>
              <c:strCache>
                <c:ptCount val="1"/>
                <c:pt idx="0">
                  <c:v>Т^2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Лист1!$O$2:$O$8</c:f>
              <c:numCache>
                <c:formatCode>General</c:formatCode>
                <c:ptCount val="7"/>
                <c:pt idx="0">
                  <c:v>26.522500000000004</c:v>
                </c:pt>
                <c:pt idx="1">
                  <c:v>37.822500000000005</c:v>
                </c:pt>
                <c:pt idx="2">
                  <c:v>51.122500000000002</c:v>
                </c:pt>
                <c:pt idx="3">
                  <c:v>66.422499999999999</c:v>
                </c:pt>
                <c:pt idx="4">
                  <c:v>83.722500000000011</c:v>
                </c:pt>
                <c:pt idx="5">
                  <c:v>103.02250000000001</c:v>
                </c:pt>
                <c:pt idx="6">
                  <c:v>124.32250000000001</c:v>
                </c:pt>
              </c:numCache>
            </c:numRef>
          </c:xVal>
          <c:yVal>
            <c:numRef>
              <c:f>Лист1!$P$2:$P$8</c:f>
              <c:numCache>
                <c:formatCode>General</c:formatCode>
                <c:ptCount val="7"/>
                <c:pt idx="0">
                  <c:v>3.6979290000000002</c:v>
                </c:pt>
                <c:pt idx="1">
                  <c:v>4.6031702499999989</c:v>
                </c:pt>
                <c:pt idx="2">
                  <c:v>5.6620202500000012</c:v>
                </c:pt>
                <c:pt idx="3">
                  <c:v>6.8958760000000021</c:v>
                </c:pt>
                <c:pt idx="4">
                  <c:v>8.2685002499999989</c:v>
                </c:pt>
                <c:pt idx="5">
                  <c:v>9.8407689999999999</c:v>
                </c:pt>
                <c:pt idx="6">
                  <c:v>11.526025000000002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30-4CAE-B473-D06DA975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203199"/>
        <c:axId val="1933203679"/>
      </c:scatterChart>
      <c:valAx>
        <c:axId val="193320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203679"/>
        <c:crosses val="autoZero"/>
        <c:crossBetween val="midCat"/>
      </c:valAx>
      <c:valAx>
        <c:axId val="193320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3320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19</xdr:row>
      <xdr:rowOff>38100</xdr:rowOff>
    </xdr:from>
    <xdr:to>
      <xdr:col>4</xdr:col>
      <xdr:colOff>327660</xdr:colOff>
      <xdr:row>31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C20A6160-128E-3D12-9601-F3D95E913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B986-7701-44CD-8CFC-D98F5FF1398F}">
  <dimension ref="A1:R22"/>
  <sheetViews>
    <sheetView tabSelected="1" topLeftCell="C1" workbookViewId="0">
      <selection activeCell="O8" sqref="O8"/>
    </sheetView>
  </sheetViews>
  <sheetFormatPr defaultRowHeight="14.4" x14ac:dyDescent="0.3"/>
  <cols>
    <col min="4" max="4" width="32.6640625" customWidth="1"/>
    <col min="7" max="7" width="18.5546875" bestFit="1" customWidth="1"/>
    <col min="8" max="8" width="10.77734375" bestFit="1" customWidth="1"/>
    <col min="11" max="11" width="13.6640625" bestFit="1" customWidth="1"/>
    <col min="12" max="13" width="13.77734375" bestFit="1" customWidth="1"/>
  </cols>
  <sheetData>
    <row r="1" spans="1:18" x14ac:dyDescent="0.3">
      <c r="A1" t="s">
        <v>0</v>
      </c>
      <c r="B1" t="s">
        <v>5</v>
      </c>
      <c r="D1" t="s">
        <v>2</v>
      </c>
      <c r="E1" t="s">
        <v>1</v>
      </c>
      <c r="G1" t="s">
        <v>3</v>
      </c>
      <c r="H1" t="s">
        <v>4</v>
      </c>
      <c r="J1" t="s">
        <v>21</v>
      </c>
      <c r="K1" t="s">
        <v>6</v>
      </c>
      <c r="L1" t="s">
        <v>8</v>
      </c>
      <c r="M1" t="s">
        <v>10</v>
      </c>
      <c r="O1" t="s">
        <v>16</v>
      </c>
      <c r="P1" t="s">
        <v>14</v>
      </c>
      <c r="Q1" t="s">
        <v>15</v>
      </c>
    </row>
    <row r="2" spans="1:18" x14ac:dyDescent="0.3">
      <c r="A2">
        <v>1</v>
      </c>
      <c r="B2" s="1">
        <v>1.98</v>
      </c>
      <c r="D2">
        <v>23</v>
      </c>
      <c r="E2">
        <f>47.57/20</f>
        <v>2.3784999999999998</v>
      </c>
      <c r="G2">
        <f>1+D6/2+D8/2</f>
        <v>5.15</v>
      </c>
      <c r="H2">
        <f>38.46/20</f>
        <v>1.923</v>
      </c>
      <c r="I2">
        <f>38.48/20</f>
        <v>1.9239999999999999</v>
      </c>
      <c r="J2">
        <f>AVERAGE(H2,I2)</f>
        <v>1.9235</v>
      </c>
      <c r="K2" t="s">
        <v>7</v>
      </c>
      <c r="L2" t="s">
        <v>9</v>
      </c>
      <c r="M2" t="s">
        <v>11</v>
      </c>
      <c r="O2">
        <f>Q2^2</f>
        <v>26.522500000000004</v>
      </c>
      <c r="P2">
        <f t="shared" ref="P2:P8" si="0">H2^2</f>
        <v>3.6979290000000002</v>
      </c>
      <c r="Q2">
        <f>G2</f>
        <v>5.15</v>
      </c>
    </row>
    <row r="3" spans="1:18" x14ac:dyDescent="0.3">
      <c r="A3">
        <v>2</v>
      </c>
      <c r="B3">
        <v>1.96</v>
      </c>
      <c r="D3">
        <v>10</v>
      </c>
      <c r="E3">
        <f>47.53/20</f>
        <v>2.3765000000000001</v>
      </c>
      <c r="G3">
        <f t="shared" ref="G3:G8" si="1">G2+1</f>
        <v>6.15</v>
      </c>
      <c r="H3">
        <f>42.91/20</f>
        <v>2.1454999999999997</v>
      </c>
      <c r="I3">
        <f>53.63/25</f>
        <v>2.1452</v>
      </c>
      <c r="J3">
        <f t="shared" ref="J3:J8" si="2">AVERAGE(H3,I3)</f>
        <v>2.1453499999999996</v>
      </c>
      <c r="O3">
        <f t="shared" ref="O3:O8" si="3">Q3^2</f>
        <v>37.822500000000005</v>
      </c>
      <c r="P3">
        <f t="shared" si="0"/>
        <v>4.6031702499999989</v>
      </c>
      <c r="Q3">
        <f t="shared" ref="Q3:Q8" si="4">G3</f>
        <v>6.15</v>
      </c>
    </row>
    <row r="4" spans="1:18" x14ac:dyDescent="0.3">
      <c r="A4">
        <v>3</v>
      </c>
      <c r="B4">
        <v>1.98</v>
      </c>
      <c r="G4">
        <f t="shared" si="1"/>
        <v>7.15</v>
      </c>
      <c r="H4">
        <f>47.59/20</f>
        <v>2.3795000000000002</v>
      </c>
      <c r="I4">
        <f>47.55/20</f>
        <v>2.3774999999999999</v>
      </c>
      <c r="J4">
        <f t="shared" si="2"/>
        <v>2.3784999999999998</v>
      </c>
      <c r="O4">
        <f t="shared" si="3"/>
        <v>51.122500000000002</v>
      </c>
      <c r="P4">
        <f t="shared" si="0"/>
        <v>5.6620202500000012</v>
      </c>
      <c r="Q4">
        <f t="shared" si="4"/>
        <v>7.15</v>
      </c>
    </row>
    <row r="5" spans="1:18" x14ac:dyDescent="0.3">
      <c r="A5">
        <v>4</v>
      </c>
      <c r="B5">
        <v>1.98</v>
      </c>
      <c r="D5" t="s">
        <v>19</v>
      </c>
      <c r="G5">
        <f t="shared" si="1"/>
        <v>8.15</v>
      </c>
      <c r="H5">
        <f>52.52/20</f>
        <v>2.6260000000000003</v>
      </c>
      <c r="I5">
        <f>52.51/20</f>
        <v>2.6254999999999997</v>
      </c>
      <c r="J5">
        <f t="shared" si="2"/>
        <v>2.62575</v>
      </c>
      <c r="O5">
        <f t="shared" si="3"/>
        <v>66.422499999999999</v>
      </c>
      <c r="P5">
        <f t="shared" si="0"/>
        <v>6.8958760000000021</v>
      </c>
      <c r="Q5">
        <f t="shared" si="4"/>
        <v>8.15</v>
      </c>
    </row>
    <row r="6" spans="1:18" x14ac:dyDescent="0.3">
      <c r="A6">
        <v>5</v>
      </c>
      <c r="B6">
        <v>1.98</v>
      </c>
      <c r="D6">
        <v>3.7</v>
      </c>
      <c r="G6">
        <f t="shared" si="1"/>
        <v>9.15</v>
      </c>
      <c r="H6">
        <f>57.51/20</f>
        <v>2.8754999999999997</v>
      </c>
      <c r="I6">
        <f>57.53/20</f>
        <v>2.8765000000000001</v>
      </c>
      <c r="J6">
        <f t="shared" si="2"/>
        <v>2.8759999999999999</v>
      </c>
      <c r="O6">
        <f t="shared" si="3"/>
        <v>83.722500000000011</v>
      </c>
      <c r="P6">
        <f t="shared" si="0"/>
        <v>8.2685002499999989</v>
      </c>
      <c r="Q6">
        <f t="shared" si="4"/>
        <v>9.15</v>
      </c>
    </row>
    <row r="7" spans="1:18" x14ac:dyDescent="0.3">
      <c r="A7">
        <v>6</v>
      </c>
      <c r="B7">
        <v>1.98</v>
      </c>
      <c r="D7" t="s">
        <v>20</v>
      </c>
      <c r="G7">
        <f t="shared" si="1"/>
        <v>10.15</v>
      </c>
      <c r="H7">
        <f>62.74/20</f>
        <v>3.137</v>
      </c>
      <c r="I7">
        <f>62.74/20</f>
        <v>3.137</v>
      </c>
      <c r="J7">
        <f t="shared" si="2"/>
        <v>3.137</v>
      </c>
      <c r="O7">
        <f t="shared" si="3"/>
        <v>103.02250000000001</v>
      </c>
      <c r="P7">
        <f t="shared" si="0"/>
        <v>9.8407689999999999</v>
      </c>
      <c r="Q7">
        <f t="shared" si="4"/>
        <v>10.15</v>
      </c>
    </row>
    <row r="8" spans="1:18" x14ac:dyDescent="0.3">
      <c r="A8">
        <v>7</v>
      </c>
      <c r="B8">
        <v>1.98</v>
      </c>
      <c r="D8">
        <v>4.5999999999999996</v>
      </c>
      <c r="G8">
        <f t="shared" si="1"/>
        <v>11.15</v>
      </c>
      <c r="H8">
        <f>67.9/20</f>
        <v>3.3950000000000005</v>
      </c>
      <c r="I8">
        <f>67.98/20</f>
        <v>3.399</v>
      </c>
      <c r="J8">
        <f t="shared" si="2"/>
        <v>3.3970000000000002</v>
      </c>
      <c r="O8">
        <f t="shared" si="3"/>
        <v>124.32250000000001</v>
      </c>
      <c r="P8">
        <f t="shared" si="0"/>
        <v>11.526025000000002</v>
      </c>
      <c r="Q8">
        <f t="shared" si="4"/>
        <v>11.15</v>
      </c>
    </row>
    <row r="9" spans="1:18" x14ac:dyDescent="0.3">
      <c r="A9">
        <v>8</v>
      </c>
      <c r="B9">
        <v>1.96</v>
      </c>
    </row>
    <row r="10" spans="1:18" x14ac:dyDescent="0.3">
      <c r="A10">
        <v>9</v>
      </c>
      <c r="B10">
        <v>1.98</v>
      </c>
      <c r="D10" t="s">
        <v>12</v>
      </c>
      <c r="O10" t="s">
        <v>18</v>
      </c>
    </row>
    <row r="11" spans="1:18" x14ac:dyDescent="0.3">
      <c r="A11">
        <v>10</v>
      </c>
      <c r="B11">
        <v>1.98</v>
      </c>
      <c r="D11" t="s">
        <v>13</v>
      </c>
    </row>
    <row r="12" spans="1:18" x14ac:dyDescent="0.3">
      <c r="D12" t="s">
        <v>17</v>
      </c>
    </row>
    <row r="14" spans="1:18" x14ac:dyDescent="0.3">
      <c r="H14" t="s">
        <v>22</v>
      </c>
      <c r="J14" t="s">
        <v>23</v>
      </c>
      <c r="K14" t="s">
        <v>28</v>
      </c>
      <c r="L14" t="s">
        <v>29</v>
      </c>
      <c r="M14" t="s">
        <v>24</v>
      </c>
      <c r="N14" t="s">
        <v>25</v>
      </c>
      <c r="O14" t="s">
        <v>26</v>
      </c>
      <c r="P14" t="s">
        <v>27</v>
      </c>
      <c r="Q14" t="s">
        <v>32</v>
      </c>
      <c r="R14" t="s">
        <v>33</v>
      </c>
    </row>
    <row r="15" spans="1:18" x14ac:dyDescent="0.3">
      <c r="H15">
        <v>977.52800000000002</v>
      </c>
      <c r="J15">
        <f>(AVERAGE(O2*P2,O3*P3,O4*P4,O5*P5,O6*P6,O7*P7,O8*P8)-AVERAGE(O2:O8)*AVERAGE(P2:P8))/(AVERAGE(O2^2,O3^2,O4^2,O5^2,O6^2,O7^2,O8^2)-AVERAGE(O2:O8)*AVERAGE(O2:O8))*10000</f>
        <v>801.20205195312622</v>
      </c>
      <c r="K15">
        <f>AVERAGE(M15:M21)/AVERAGE(O15:O21)*10000</f>
        <v>984.57385847136027</v>
      </c>
      <c r="L15">
        <f>(7*SUM(O2*P2,O3*P3,O4*P4,O5*P5,O6*P6,O7*P7,O8*P8)-SUM(O2:O8)*SUM(P2:P8))/(7*SUM(O15:O21)-P15)*10000</f>
        <v>145.14034469227221</v>
      </c>
      <c r="M15">
        <f t="shared" ref="M15:M21" si="5">O2*P2</f>
        <v>98.078321902500022</v>
      </c>
      <c r="N15">
        <f>70.4225*7.213469964</f>
        <v>507.99058853979</v>
      </c>
      <c r="O15">
        <f>O2^2</f>
        <v>703.44300625000028</v>
      </c>
      <c r="P15">
        <f>70.4225^2</f>
        <v>4959.3285062499999</v>
      </c>
      <c r="Q15">
        <f t="shared" ref="Q15:Q21" si="6">P2/O2*10000</f>
        <v>1394.26109906683</v>
      </c>
      <c r="R15">
        <f>P2^2</f>
        <v>13.674678889041001</v>
      </c>
    </row>
    <row r="16" spans="1:18" x14ac:dyDescent="0.3">
      <c r="J16">
        <f>(M22-N15)/(O22-P15)*10000</f>
        <v>801.2020523674131</v>
      </c>
      <c r="M16">
        <f t="shared" si="5"/>
        <v>174.10340678062499</v>
      </c>
      <c r="O16">
        <f t="shared" ref="O16:O21" si="7">O3^2</f>
        <v>1430.5415062500003</v>
      </c>
      <c r="Q16">
        <f t="shared" si="6"/>
        <v>1217.0454755767066</v>
      </c>
      <c r="R16">
        <f t="shared" ref="R16:R21" si="8">P3^2</f>
        <v>21.189176350485052</v>
      </c>
    </row>
    <row r="17" spans="8:18" x14ac:dyDescent="0.3">
      <c r="K17" t="s">
        <v>21</v>
      </c>
      <c r="M17">
        <f t="shared" si="5"/>
        <v>289.45663023062508</v>
      </c>
      <c r="O17">
        <f t="shared" si="7"/>
        <v>2613.5100062500001</v>
      </c>
      <c r="Q17">
        <f t="shared" si="6"/>
        <v>1107.5397818964254</v>
      </c>
      <c r="R17">
        <f t="shared" si="8"/>
        <v>32.058473311410076</v>
      </c>
    </row>
    <row r="18" spans="8:18" x14ac:dyDescent="0.3">
      <c r="K18">
        <v>1089.56439</v>
      </c>
      <c r="M18">
        <f t="shared" si="5"/>
        <v>458.04132361000012</v>
      </c>
      <c r="O18">
        <f t="shared" si="7"/>
        <v>4411.9485062499998</v>
      </c>
      <c r="Q18">
        <f t="shared" si="6"/>
        <v>1038.1837479769658</v>
      </c>
      <c r="R18">
        <f t="shared" si="8"/>
        <v>47.553105807376028</v>
      </c>
    </row>
    <row r="19" spans="8:18" x14ac:dyDescent="0.3">
      <c r="H19" t="s">
        <v>30</v>
      </c>
      <c r="M19">
        <f t="shared" si="5"/>
        <v>692.25951218062505</v>
      </c>
      <c r="O19">
        <f t="shared" si="7"/>
        <v>7009.4570062500015</v>
      </c>
      <c r="Q19">
        <f t="shared" si="6"/>
        <v>987.60790110185405</v>
      </c>
      <c r="R19">
        <f t="shared" si="8"/>
        <v>68.368096384250038</v>
      </c>
    </row>
    <row r="20" spans="8:18" x14ac:dyDescent="0.3">
      <c r="H20">
        <v>1.5711999999999999</v>
      </c>
      <c r="M20">
        <f t="shared" si="5"/>
        <v>1013.8206243025001</v>
      </c>
      <c r="O20">
        <f t="shared" si="7"/>
        <v>10613.635506250002</v>
      </c>
      <c r="Q20">
        <f t="shared" si="6"/>
        <v>955.2058045572569</v>
      </c>
      <c r="R20">
        <f t="shared" si="8"/>
        <v>96.840734511360992</v>
      </c>
    </row>
    <row r="21" spans="8:18" x14ac:dyDescent="0.3">
      <c r="M21">
        <f t="shared" si="5"/>
        <v>1432.9442430625004</v>
      </c>
      <c r="O21">
        <f t="shared" si="7"/>
        <v>15456.084006250001</v>
      </c>
      <c r="Q21">
        <f t="shared" si="6"/>
        <v>927.10691950371029</v>
      </c>
      <c r="R21">
        <f t="shared" si="8"/>
        <v>132.84925230062507</v>
      </c>
    </row>
    <row r="22" spans="8:18" x14ac:dyDescent="0.3">
      <c r="H22" t="s">
        <v>31</v>
      </c>
      <c r="M22" s="2">
        <v>594.10058030000005</v>
      </c>
      <c r="O22" s="2">
        <v>6034.0885060000001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2024-09-26T06:30:01Z</dcterms:created>
  <dcterms:modified xsi:type="dcterms:W3CDTF">2024-09-30T10:34:31Z</dcterms:modified>
</cp:coreProperties>
</file>