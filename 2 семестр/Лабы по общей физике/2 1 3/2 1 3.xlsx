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2 семестр\2 1 3\"/>
    </mc:Choice>
  </mc:AlternateContent>
  <xr:revisionPtr revIDLastSave="0" documentId="13_ncr:1_{3C63FC28-5E55-4D47-8A31-299BFEF209D5}" xr6:coauthVersionLast="47" xr6:coauthVersionMax="47" xr10:uidLastSave="{00000000-0000-0000-0000-000000000000}"/>
  <bookViews>
    <workbookView xWindow="-108" yWindow="-108" windowWidth="23256" windowHeight="13896" activeTab="2" xr2:uid="{4DD5954D-C234-491F-B374-67F2F7CB8ABF}"/>
  </bookViews>
  <sheets>
    <sheet name="Воздух" sheetId="1" r:id="rId1"/>
    <sheet name="CO2" sheetId="2" r:id="rId2"/>
    <sheet name="Термостат" sheetId="3" r:id="rId3"/>
    <sheet name="Лист1" sheetId="4" r:id="rId4"/>
    <sheet name="Воздух 1.2" sheetId="5" r:id="rId5"/>
    <sheet name="СО2 1.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3" l="1"/>
  <c r="D21" i="3"/>
  <c r="C21" i="3"/>
  <c r="G17" i="3"/>
  <c r="E17" i="3"/>
  <c r="C17" i="3"/>
  <c r="G14" i="3"/>
  <c r="G13" i="3"/>
  <c r="G12" i="3"/>
  <c r="G11" i="3"/>
  <c r="G10" i="3"/>
  <c r="G9" i="3"/>
  <c r="G8" i="3"/>
  <c r="G7" i="3"/>
  <c r="G6" i="3"/>
  <c r="G5" i="3"/>
  <c r="G4" i="3"/>
  <c r="G3" i="3"/>
  <c r="E14" i="3"/>
  <c r="E13" i="3"/>
  <c r="E12" i="3"/>
  <c r="E11" i="3"/>
  <c r="E10" i="3"/>
  <c r="E9" i="3"/>
  <c r="E8" i="3"/>
  <c r="E7" i="3"/>
  <c r="E6" i="3"/>
  <c r="E5" i="3"/>
  <c r="E4" i="3"/>
  <c r="E3" i="3"/>
  <c r="C4" i="3"/>
  <c r="C5" i="3"/>
  <c r="C6" i="3"/>
  <c r="C7" i="3"/>
  <c r="C8" i="3"/>
  <c r="C9" i="3"/>
  <c r="C10" i="3"/>
  <c r="C11" i="3"/>
  <c r="C12" i="3"/>
  <c r="C13" i="3"/>
  <c r="C14" i="3"/>
  <c r="C3" i="3"/>
  <c r="G15" i="6"/>
  <c r="I15" i="6"/>
  <c r="H15" i="6"/>
  <c r="H2" i="6"/>
  <c r="I2" i="6"/>
  <c r="H3" i="6"/>
  <c r="I3" i="6"/>
  <c r="H4" i="6"/>
  <c r="I4" i="6"/>
  <c r="H5" i="6"/>
  <c r="I5" i="6"/>
  <c r="H6" i="6"/>
  <c r="I6" i="6"/>
  <c r="H7" i="6"/>
  <c r="I7" i="6"/>
  <c r="H8" i="6"/>
  <c r="I8" i="6"/>
  <c r="H9" i="6"/>
  <c r="I9" i="6"/>
  <c r="H10" i="6"/>
  <c r="I10" i="6"/>
  <c r="H11" i="6"/>
  <c r="I11" i="6"/>
  <c r="H12" i="6"/>
  <c r="I12" i="6"/>
  <c r="H13" i="6"/>
  <c r="I13" i="6"/>
  <c r="G3" i="6"/>
  <c r="G4" i="6"/>
  <c r="G5" i="6"/>
  <c r="G6" i="6"/>
  <c r="G7" i="6"/>
  <c r="G8" i="6"/>
  <c r="G9" i="6"/>
  <c r="G10" i="6"/>
  <c r="G11" i="6"/>
  <c r="G12" i="6"/>
  <c r="G13" i="6"/>
  <c r="G2" i="6"/>
  <c r="I5" i="5"/>
  <c r="J16" i="5"/>
  <c r="K16" i="5"/>
  <c r="L16" i="5"/>
  <c r="M16" i="5"/>
  <c r="I16" i="5"/>
  <c r="K2" i="5"/>
  <c r="M2" i="5"/>
  <c r="I3" i="5"/>
  <c r="M13" i="5"/>
  <c r="M12" i="5"/>
  <c r="M11" i="5"/>
  <c r="M10" i="5"/>
  <c r="M9" i="5"/>
  <c r="M8" i="5"/>
  <c r="M7" i="5"/>
  <c r="M6" i="5"/>
  <c r="M5" i="5"/>
  <c r="M4" i="5"/>
  <c r="M3" i="5"/>
  <c r="L13" i="5"/>
  <c r="I2" i="5"/>
  <c r="J2" i="5"/>
  <c r="L2" i="5"/>
  <c r="J3" i="5"/>
  <c r="K3" i="5"/>
  <c r="L3" i="5"/>
  <c r="I4" i="5"/>
  <c r="J4" i="5"/>
  <c r="K4" i="5"/>
  <c r="L4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P13" i="1"/>
  <c r="P12" i="1"/>
  <c r="P11" i="1"/>
  <c r="P10" i="1"/>
  <c r="P5" i="1"/>
  <c r="P6" i="1"/>
  <c r="P7" i="1"/>
  <c r="P4" i="1"/>
</calcChain>
</file>

<file path=xl/sharedStrings.xml><?xml version="1.0" encoding="utf-8"?>
<sst xmlns="http://schemas.openxmlformats.org/spreadsheetml/2006/main" count="33" uniqueCount="22">
  <si>
    <t>Частота</t>
  </si>
  <si>
    <t>Частота, Гц</t>
  </si>
  <si>
    <t>n</t>
  </si>
  <si>
    <t>L = 0,7 м</t>
  </si>
  <si>
    <t>т 24,5 С</t>
  </si>
  <si>
    <t>50 С</t>
  </si>
  <si>
    <t>40 С</t>
  </si>
  <si>
    <t>30 С</t>
  </si>
  <si>
    <t>CO2</t>
  </si>
  <si>
    <t>Воздух</t>
  </si>
  <si>
    <t>f, Гц</t>
  </si>
  <si>
    <t>Длина полуволны</t>
  </si>
  <si>
    <t>с</t>
  </si>
  <si>
    <t>МНК</t>
  </si>
  <si>
    <t>СО2</t>
  </si>
  <si>
    <t>L, м</t>
  </si>
  <si>
    <t>2c/L</t>
  </si>
  <si>
    <t>c</t>
  </si>
  <si>
    <t>разность</t>
  </si>
  <si>
    <t>длина</t>
  </si>
  <si>
    <t>t</t>
  </si>
  <si>
    <t>c/2L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</si>
</sst>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Воздух!$A$3:$A$14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Воздух!$B$3:$B$14</c:f>
              <c:numCache>
                <c:formatCode>General</c:formatCode>
                <c:ptCount val="12"/>
                <c:pt idx="0">
                  <c:v>254</c:v>
                </c:pt>
                <c:pt idx="1">
                  <c:v>474</c:v>
                </c:pt>
                <c:pt idx="2">
                  <c:v>755</c:v>
                </c:pt>
                <c:pt idx="3">
                  <c:v>944</c:v>
                </c:pt>
                <c:pt idx="4">
                  <c:v>1258</c:v>
                </c:pt>
                <c:pt idx="5">
                  <c:v>1433</c:v>
                </c:pt>
                <c:pt idx="6">
                  <c:v>1758</c:v>
                </c:pt>
                <c:pt idx="7">
                  <c:v>1983</c:v>
                </c:pt>
                <c:pt idx="8">
                  <c:v>2236</c:v>
                </c:pt>
                <c:pt idx="9">
                  <c:v>2477</c:v>
                </c:pt>
                <c:pt idx="10">
                  <c:v>2709</c:v>
                </c:pt>
                <c:pt idx="11">
                  <c:v>2966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BE-46C4-9B55-77F88B8F329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Воздух!$A$3:$A$14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Воздух!$C$3:$C$14</c:f>
              <c:numCache>
                <c:formatCode>General</c:formatCode>
                <c:ptCount val="12"/>
                <c:pt idx="0">
                  <c:v>220</c:v>
                </c:pt>
                <c:pt idx="1">
                  <c:v>485</c:v>
                </c:pt>
                <c:pt idx="2">
                  <c:v>774</c:v>
                </c:pt>
                <c:pt idx="3">
                  <c:v>1166</c:v>
                </c:pt>
                <c:pt idx="4">
                  <c:v>1345</c:v>
                </c:pt>
                <c:pt idx="5">
                  <c:v>1507</c:v>
                </c:pt>
                <c:pt idx="6">
                  <c:v>1757</c:v>
                </c:pt>
                <c:pt idx="7">
                  <c:v>2112</c:v>
                </c:pt>
                <c:pt idx="8">
                  <c:v>2334</c:v>
                </c:pt>
                <c:pt idx="9">
                  <c:v>2502</c:v>
                </c:pt>
                <c:pt idx="10">
                  <c:v>2689</c:v>
                </c:pt>
                <c:pt idx="11">
                  <c:v>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BE-46C4-9B55-77F88B8F329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Воздух!$A$3:$A$14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Воздух!$D$3:$D$14</c:f>
              <c:numCache>
                <c:formatCode>General</c:formatCode>
                <c:ptCount val="12"/>
                <c:pt idx="0">
                  <c:v>228</c:v>
                </c:pt>
                <c:pt idx="1">
                  <c:v>377</c:v>
                </c:pt>
                <c:pt idx="2">
                  <c:v>801</c:v>
                </c:pt>
                <c:pt idx="3">
                  <c:v>993</c:v>
                </c:pt>
                <c:pt idx="4">
                  <c:v>1243</c:v>
                </c:pt>
                <c:pt idx="5">
                  <c:v>1393</c:v>
                </c:pt>
                <c:pt idx="6">
                  <c:v>1621</c:v>
                </c:pt>
                <c:pt idx="7">
                  <c:v>2035</c:v>
                </c:pt>
                <c:pt idx="8">
                  <c:v>2257</c:v>
                </c:pt>
                <c:pt idx="9">
                  <c:v>2458</c:v>
                </c:pt>
                <c:pt idx="10">
                  <c:v>2638</c:v>
                </c:pt>
                <c:pt idx="11">
                  <c:v>2864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BE-46C4-9B55-77F88B8F329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Воздух!$A$3:$A$14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Воздух!$E$3:$E$14</c:f>
              <c:numCache>
                <c:formatCode>General</c:formatCode>
                <c:ptCount val="12"/>
                <c:pt idx="0">
                  <c:v>237</c:v>
                </c:pt>
                <c:pt idx="1">
                  <c:v>403</c:v>
                </c:pt>
                <c:pt idx="2">
                  <c:v>833</c:v>
                </c:pt>
                <c:pt idx="3">
                  <c:v>1075</c:v>
                </c:pt>
                <c:pt idx="4">
                  <c:v>1310</c:v>
                </c:pt>
                <c:pt idx="5">
                  <c:v>1476</c:v>
                </c:pt>
                <c:pt idx="6">
                  <c:v>1759</c:v>
                </c:pt>
                <c:pt idx="7">
                  <c:v>1961</c:v>
                </c:pt>
                <c:pt idx="8">
                  <c:v>2167</c:v>
                </c:pt>
                <c:pt idx="9">
                  <c:v>2406</c:v>
                </c:pt>
                <c:pt idx="10">
                  <c:v>2583</c:v>
                </c:pt>
                <c:pt idx="11">
                  <c:v>2823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BE-46C4-9B55-77F88B8F3292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Воздух!$A$3:$A$14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Воздух!$F$3:$F$14</c:f>
              <c:numCache>
                <c:formatCode>General</c:formatCode>
                <c:ptCount val="12"/>
                <c:pt idx="0">
                  <c:v>245</c:v>
                </c:pt>
                <c:pt idx="1">
                  <c:v>435</c:v>
                </c:pt>
                <c:pt idx="2">
                  <c:v>718</c:v>
                </c:pt>
                <c:pt idx="3">
                  <c:v>878</c:v>
                </c:pt>
                <c:pt idx="4">
                  <c:v>1169</c:v>
                </c:pt>
                <c:pt idx="5">
                  <c:v>1361</c:v>
                </c:pt>
                <c:pt idx="6">
                  <c:v>1601</c:v>
                </c:pt>
                <c:pt idx="7">
                  <c:v>1890</c:v>
                </c:pt>
                <c:pt idx="8">
                  <c:v>2069</c:v>
                </c:pt>
                <c:pt idx="9">
                  <c:v>2337</c:v>
                </c:pt>
                <c:pt idx="10">
                  <c:v>2531</c:v>
                </c:pt>
                <c:pt idx="11">
                  <c:v>2775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3BE-46C4-9B55-77F88B8F3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475200"/>
        <c:axId val="568468960"/>
      </c:scatterChart>
      <c:valAx>
        <c:axId val="56847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8468960"/>
        <c:crosses val="autoZero"/>
        <c:crossBetween val="midCat"/>
      </c:valAx>
      <c:valAx>
        <c:axId val="56846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847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Воздух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Воздух!$J$3:$N$3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Воздух!$J$4:$N$4</c:f>
              <c:numCache>
                <c:formatCode>General</c:formatCode>
                <c:ptCount val="5"/>
                <c:pt idx="0">
                  <c:v>4.2</c:v>
                </c:pt>
                <c:pt idx="1">
                  <c:v>10.9</c:v>
                </c:pt>
                <c:pt idx="2">
                  <c:v>17.600000000000001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EB-4D03-9CC5-4455D4EAD07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Воздух!$J$3:$N$3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Воздух!$J$5:$N$5</c:f>
              <c:numCache>
                <c:formatCode>General</c:formatCode>
                <c:ptCount val="5"/>
                <c:pt idx="0">
                  <c:v>3.3</c:v>
                </c:pt>
                <c:pt idx="1">
                  <c:v>8.4</c:v>
                </c:pt>
                <c:pt idx="2">
                  <c:v>13.3</c:v>
                </c:pt>
                <c:pt idx="3">
                  <c:v>18.399999999999999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EB-4D03-9CC5-4455D4EAD07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Воздух!$J$3:$N$3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Воздух!$J$6:$N$6</c:f>
              <c:numCache>
                <c:formatCode>General</c:formatCode>
                <c:ptCount val="5"/>
                <c:pt idx="0">
                  <c:v>4.7</c:v>
                </c:pt>
                <c:pt idx="1">
                  <c:v>8.8000000000000007</c:v>
                </c:pt>
                <c:pt idx="2">
                  <c:v>12.9</c:v>
                </c:pt>
                <c:pt idx="3">
                  <c:v>16.899999999999999</c:v>
                </c:pt>
                <c:pt idx="4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EB-4D03-9CC5-4455D4EAD07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Воздух!$J$3:$N$3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Воздух!$J$7:$N$7</c:f>
              <c:numCache>
                <c:formatCode>General</c:formatCode>
                <c:ptCount val="5"/>
                <c:pt idx="0">
                  <c:v>4.7</c:v>
                </c:pt>
                <c:pt idx="1">
                  <c:v>8.1</c:v>
                </c:pt>
                <c:pt idx="2">
                  <c:v>11.5</c:v>
                </c:pt>
                <c:pt idx="3">
                  <c:v>14.8</c:v>
                </c:pt>
                <c:pt idx="4">
                  <c:v>18.2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EB-4D03-9CC5-4455D4EAD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011775"/>
        <c:axId val="1652346815"/>
      </c:scatterChart>
      <c:valAx>
        <c:axId val="176001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2346815"/>
        <c:crosses val="autoZero"/>
        <c:crossBetween val="midCat"/>
      </c:valAx>
      <c:valAx>
        <c:axId val="165234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0011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Воздух!$J$9:$N$9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Воздух!$J$10:$N$10</c:f>
              <c:numCache>
                <c:formatCode>General</c:formatCode>
                <c:ptCount val="5"/>
                <c:pt idx="0">
                  <c:v>5.0999999999999996</c:v>
                </c:pt>
                <c:pt idx="1">
                  <c:v>11.2</c:v>
                </c:pt>
                <c:pt idx="2">
                  <c:v>17.399999999999999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7-44B7-9118-E8047BA0FBE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Воздух!$J$9:$N$9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Воздух!$J$11:$N$11</c:f>
              <c:numCache>
                <c:formatCode>General</c:formatCode>
                <c:ptCount val="5"/>
                <c:pt idx="0">
                  <c:v>5.9</c:v>
                </c:pt>
                <c:pt idx="1">
                  <c:v>10.5</c:v>
                </c:pt>
                <c:pt idx="2">
                  <c:v>15.8</c:v>
                </c:pt>
                <c:pt idx="3">
                  <c:v>20.6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87-44B7-9118-E8047BA0FBE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Воздух!$J$9:$N$9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Воздух!$J$12:$N$12</c:f>
              <c:numCache>
                <c:formatCode>General</c:formatCode>
                <c:ptCount val="5"/>
                <c:pt idx="0">
                  <c:v>0.9</c:v>
                </c:pt>
                <c:pt idx="1">
                  <c:v>6.2</c:v>
                </c:pt>
                <c:pt idx="2">
                  <c:v>11.5</c:v>
                </c:pt>
                <c:pt idx="3">
                  <c:v>17.2</c:v>
                </c:pt>
                <c:pt idx="4">
                  <c:v>22.5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87-44B7-9118-E8047BA0FBE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Воздух!$J$9:$N$9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Воздух!$J$13:$N$13</c:f>
              <c:numCache>
                <c:formatCode>General</c:formatCode>
                <c:ptCount val="5"/>
                <c:pt idx="0">
                  <c:v>1</c:v>
                </c:pt>
                <c:pt idx="1">
                  <c:v>5.5</c:v>
                </c:pt>
                <c:pt idx="2">
                  <c:v>9.6999999999999993</c:v>
                </c:pt>
                <c:pt idx="3">
                  <c:v>13.9</c:v>
                </c:pt>
                <c:pt idx="4">
                  <c:v>18.8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87-44B7-9118-E8047BA0F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60511"/>
        <c:axId val="37344191"/>
      </c:scatterChart>
      <c:valAx>
        <c:axId val="3736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344191"/>
        <c:crosses val="autoZero"/>
        <c:crossBetween val="midCat"/>
      </c:valAx>
      <c:valAx>
        <c:axId val="3734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360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'CO2'!$A$3:$A$14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'CO2'!$B$3:$B$14</c:f>
              <c:numCache>
                <c:formatCode>General</c:formatCode>
                <c:ptCount val="12"/>
                <c:pt idx="0">
                  <c:v>199</c:v>
                </c:pt>
                <c:pt idx="1">
                  <c:v>370</c:v>
                </c:pt>
                <c:pt idx="2">
                  <c:v>590</c:v>
                </c:pt>
                <c:pt idx="3">
                  <c:v>735</c:v>
                </c:pt>
                <c:pt idx="4">
                  <c:v>984</c:v>
                </c:pt>
                <c:pt idx="5">
                  <c:v>1118</c:v>
                </c:pt>
                <c:pt idx="6">
                  <c:v>1371</c:v>
                </c:pt>
                <c:pt idx="7">
                  <c:v>1543</c:v>
                </c:pt>
                <c:pt idx="8">
                  <c:v>1745</c:v>
                </c:pt>
                <c:pt idx="9">
                  <c:v>1935</c:v>
                </c:pt>
                <c:pt idx="10">
                  <c:v>2116</c:v>
                </c:pt>
                <c:pt idx="11">
                  <c:v>2319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50-41E2-B376-8AA8FEB9562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'CO2'!$A$3:$A$14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'CO2'!$C$3:$C$14</c:f>
              <c:numCache>
                <c:formatCode>General</c:formatCode>
                <c:ptCount val="12"/>
                <c:pt idx="0">
                  <c:v>185</c:v>
                </c:pt>
                <c:pt idx="1">
                  <c:v>314</c:v>
                </c:pt>
                <c:pt idx="2">
                  <c:v>524</c:v>
                </c:pt>
                <c:pt idx="3">
                  <c:v>647</c:v>
                </c:pt>
                <c:pt idx="4">
                  <c:v>834</c:v>
                </c:pt>
                <c:pt idx="5">
                  <c:v>1021</c:v>
                </c:pt>
                <c:pt idx="6">
                  <c:v>1154</c:v>
                </c:pt>
                <c:pt idx="7">
                  <c:v>1368</c:v>
                </c:pt>
                <c:pt idx="8">
                  <c:v>1527</c:v>
                </c:pt>
                <c:pt idx="9">
                  <c:v>1686</c:v>
                </c:pt>
                <c:pt idx="10">
                  <c:v>1875</c:v>
                </c:pt>
                <c:pt idx="11">
                  <c:v>2015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50-41E2-B376-8AA8FEB9562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'CO2'!$A$3:$A$14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'CO2'!$D$3:$D$14</c:f>
              <c:numCache>
                <c:formatCode>General</c:formatCode>
                <c:ptCount val="12"/>
                <c:pt idx="0">
                  <c:v>171</c:v>
                </c:pt>
                <c:pt idx="1">
                  <c:v>276</c:v>
                </c:pt>
                <c:pt idx="2">
                  <c:v>455</c:v>
                </c:pt>
                <c:pt idx="3">
                  <c:v>602</c:v>
                </c:pt>
                <c:pt idx="4">
                  <c:v>719</c:v>
                </c:pt>
                <c:pt idx="5">
                  <c:v>906</c:v>
                </c:pt>
                <c:pt idx="6">
                  <c:v>1042</c:v>
                </c:pt>
                <c:pt idx="7">
                  <c:v>1173</c:v>
                </c:pt>
                <c:pt idx="8">
                  <c:v>1364</c:v>
                </c:pt>
                <c:pt idx="9">
                  <c:v>1511</c:v>
                </c:pt>
                <c:pt idx="10">
                  <c:v>1640</c:v>
                </c:pt>
                <c:pt idx="11">
                  <c:v>1815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50-41E2-B376-8AA8FEB95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432000"/>
        <c:axId val="568427680"/>
      </c:scatterChart>
      <c:valAx>
        <c:axId val="56843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8427680"/>
        <c:crosses val="autoZero"/>
        <c:crossBetween val="midCat"/>
      </c:valAx>
      <c:valAx>
        <c:axId val="56842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8432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Термостат!$A$3:$A$14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Термостат!$B$3:$B$14</c:f>
              <c:numCache>
                <c:formatCode>General</c:formatCode>
                <c:ptCount val="12"/>
                <c:pt idx="0">
                  <c:v>204</c:v>
                </c:pt>
                <c:pt idx="1">
                  <c:v>468</c:v>
                </c:pt>
                <c:pt idx="2">
                  <c:v>688</c:v>
                </c:pt>
                <c:pt idx="3">
                  <c:v>911</c:v>
                </c:pt>
                <c:pt idx="4">
                  <c:v>1136</c:v>
                </c:pt>
                <c:pt idx="5">
                  <c:v>1362</c:v>
                </c:pt>
                <c:pt idx="6">
                  <c:v>1587</c:v>
                </c:pt>
                <c:pt idx="7">
                  <c:v>1813</c:v>
                </c:pt>
                <c:pt idx="8">
                  <c:v>2038</c:v>
                </c:pt>
                <c:pt idx="9">
                  <c:v>2264</c:v>
                </c:pt>
                <c:pt idx="10">
                  <c:v>2490</c:v>
                </c:pt>
                <c:pt idx="11">
                  <c:v>2717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E3-44BF-A230-5555775CAFC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Термостат!$A$3:$A$14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Термостат!$D$3:$D$14</c:f>
              <c:numCache>
                <c:formatCode>General</c:formatCode>
                <c:ptCount val="12"/>
                <c:pt idx="0">
                  <c:v>204</c:v>
                </c:pt>
                <c:pt idx="1">
                  <c:v>461</c:v>
                </c:pt>
                <c:pt idx="2">
                  <c:v>678</c:v>
                </c:pt>
                <c:pt idx="3">
                  <c:v>897</c:v>
                </c:pt>
                <c:pt idx="4">
                  <c:v>1118</c:v>
                </c:pt>
                <c:pt idx="5">
                  <c:v>1341</c:v>
                </c:pt>
                <c:pt idx="6">
                  <c:v>1565</c:v>
                </c:pt>
                <c:pt idx="7">
                  <c:v>1786</c:v>
                </c:pt>
                <c:pt idx="8">
                  <c:v>2008</c:v>
                </c:pt>
                <c:pt idx="9">
                  <c:v>2230</c:v>
                </c:pt>
                <c:pt idx="10">
                  <c:v>2453</c:v>
                </c:pt>
                <c:pt idx="11">
                  <c:v>2675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E3-44BF-A230-5555775CAFC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Термостат!$A$3:$A$14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Термостат!$F$3:$F$14</c:f>
              <c:numCache>
                <c:formatCode>General</c:formatCode>
                <c:ptCount val="12"/>
                <c:pt idx="0">
                  <c:v>204</c:v>
                </c:pt>
                <c:pt idx="1">
                  <c:v>454</c:v>
                </c:pt>
                <c:pt idx="2">
                  <c:v>668</c:v>
                </c:pt>
                <c:pt idx="3">
                  <c:v>883</c:v>
                </c:pt>
                <c:pt idx="4">
                  <c:v>1101</c:v>
                </c:pt>
                <c:pt idx="5">
                  <c:v>1320</c:v>
                </c:pt>
                <c:pt idx="6">
                  <c:v>1539</c:v>
                </c:pt>
                <c:pt idx="7">
                  <c:v>1757</c:v>
                </c:pt>
                <c:pt idx="8">
                  <c:v>1976</c:v>
                </c:pt>
                <c:pt idx="9">
                  <c:v>2197</c:v>
                </c:pt>
                <c:pt idx="10">
                  <c:v>2414</c:v>
                </c:pt>
                <c:pt idx="11">
                  <c:v>2634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E3-44BF-A230-5555775CA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823216"/>
        <c:axId val="411826576"/>
      </c:scatterChart>
      <c:valAx>
        <c:axId val="41182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1826576"/>
        <c:crosses val="autoZero"/>
        <c:crossBetween val="midCat"/>
      </c:valAx>
      <c:valAx>
        <c:axId val="41182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1823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'Воздух 1.2'!$H$2:$H$13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'Воздух 1.2'!$I$2:$I$13</c:f>
              <c:numCache>
                <c:formatCode>General</c:formatCode>
                <c:ptCount val="12"/>
                <c:pt idx="0">
                  <c:v>0</c:v>
                </c:pt>
                <c:pt idx="1">
                  <c:v>265</c:v>
                </c:pt>
                <c:pt idx="2">
                  <c:v>554</c:v>
                </c:pt>
                <c:pt idx="3">
                  <c:v>946</c:v>
                </c:pt>
                <c:pt idx="4">
                  <c:v>1125</c:v>
                </c:pt>
                <c:pt idx="5">
                  <c:v>1287</c:v>
                </c:pt>
                <c:pt idx="6">
                  <c:v>1537</c:v>
                </c:pt>
                <c:pt idx="7">
                  <c:v>1892</c:v>
                </c:pt>
                <c:pt idx="8">
                  <c:v>2114</c:v>
                </c:pt>
                <c:pt idx="9">
                  <c:v>2282</c:v>
                </c:pt>
                <c:pt idx="10">
                  <c:v>2469</c:v>
                </c:pt>
                <c:pt idx="11">
                  <c:v>2679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84-4C58-8E16-5321973B663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'Воздух 1.2'!$H$2:$H$13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'Воздух 1.2'!$J$2:$J$13</c:f>
              <c:numCache>
                <c:formatCode>General</c:formatCode>
                <c:ptCount val="12"/>
                <c:pt idx="0">
                  <c:v>0</c:v>
                </c:pt>
                <c:pt idx="1">
                  <c:v>149</c:v>
                </c:pt>
                <c:pt idx="2">
                  <c:v>573</c:v>
                </c:pt>
                <c:pt idx="3">
                  <c:v>765</c:v>
                </c:pt>
                <c:pt idx="4">
                  <c:v>1015</c:v>
                </c:pt>
                <c:pt idx="5">
                  <c:v>1165</c:v>
                </c:pt>
                <c:pt idx="6">
                  <c:v>1393</c:v>
                </c:pt>
                <c:pt idx="7">
                  <c:v>1807</c:v>
                </c:pt>
                <c:pt idx="8">
                  <c:v>2029</c:v>
                </c:pt>
                <c:pt idx="9">
                  <c:v>2230</c:v>
                </c:pt>
                <c:pt idx="10">
                  <c:v>2410</c:v>
                </c:pt>
                <c:pt idx="11">
                  <c:v>2636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84-4C58-8E16-5321973B663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'Воздух 1.2'!$H$2:$H$13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'Воздух 1.2'!$K$2:$K$13</c:f>
              <c:numCache>
                <c:formatCode>General</c:formatCode>
                <c:ptCount val="12"/>
                <c:pt idx="0">
                  <c:v>0</c:v>
                </c:pt>
                <c:pt idx="1">
                  <c:v>166</c:v>
                </c:pt>
                <c:pt idx="2">
                  <c:v>596</c:v>
                </c:pt>
                <c:pt idx="3">
                  <c:v>838</c:v>
                </c:pt>
                <c:pt idx="4">
                  <c:v>1073</c:v>
                </c:pt>
                <c:pt idx="5">
                  <c:v>1239</c:v>
                </c:pt>
                <c:pt idx="6">
                  <c:v>1522</c:v>
                </c:pt>
                <c:pt idx="7">
                  <c:v>1724</c:v>
                </c:pt>
                <c:pt idx="8">
                  <c:v>1930</c:v>
                </c:pt>
                <c:pt idx="9">
                  <c:v>2169</c:v>
                </c:pt>
                <c:pt idx="10">
                  <c:v>2346</c:v>
                </c:pt>
                <c:pt idx="11">
                  <c:v>2586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84-4C58-8E16-5321973B663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'Воздух 1.2'!$H$2:$H$13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'Воздух 1.2'!$L$2:$L$13</c:f>
              <c:numCache>
                <c:formatCode>General</c:formatCode>
                <c:ptCount val="12"/>
                <c:pt idx="0">
                  <c:v>0</c:v>
                </c:pt>
                <c:pt idx="1">
                  <c:v>190</c:v>
                </c:pt>
                <c:pt idx="2">
                  <c:v>473</c:v>
                </c:pt>
                <c:pt idx="3">
                  <c:v>633</c:v>
                </c:pt>
                <c:pt idx="4">
                  <c:v>924</c:v>
                </c:pt>
                <c:pt idx="5">
                  <c:v>1116</c:v>
                </c:pt>
                <c:pt idx="6">
                  <c:v>1356</c:v>
                </c:pt>
                <c:pt idx="7">
                  <c:v>1645</c:v>
                </c:pt>
                <c:pt idx="8">
                  <c:v>1824</c:v>
                </c:pt>
                <c:pt idx="9">
                  <c:v>2092</c:v>
                </c:pt>
                <c:pt idx="10">
                  <c:v>2286</c:v>
                </c:pt>
                <c:pt idx="11">
                  <c:v>2530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84-4C58-8E16-5321973B663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'Воздух 1.2'!$H$2:$H$13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'Воздух 1.2'!$M$2:$M$13</c:f>
              <c:numCache>
                <c:formatCode>General</c:formatCode>
                <c:ptCount val="12"/>
                <c:pt idx="0">
                  <c:v>0</c:v>
                </c:pt>
                <c:pt idx="1">
                  <c:v>220</c:v>
                </c:pt>
                <c:pt idx="2">
                  <c:v>501</c:v>
                </c:pt>
                <c:pt idx="3">
                  <c:v>690</c:v>
                </c:pt>
                <c:pt idx="4">
                  <c:v>1004</c:v>
                </c:pt>
                <c:pt idx="5">
                  <c:v>1179</c:v>
                </c:pt>
                <c:pt idx="6">
                  <c:v>1504</c:v>
                </c:pt>
                <c:pt idx="7">
                  <c:v>1729</c:v>
                </c:pt>
                <c:pt idx="8">
                  <c:v>1982</c:v>
                </c:pt>
                <c:pt idx="9">
                  <c:v>2223</c:v>
                </c:pt>
                <c:pt idx="10">
                  <c:v>2455</c:v>
                </c:pt>
                <c:pt idx="11">
                  <c:v>2712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84-4C58-8E16-5321973B6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300832"/>
        <c:axId val="345303712"/>
      </c:scatterChart>
      <c:valAx>
        <c:axId val="34530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5303712"/>
        <c:crosses val="autoZero"/>
        <c:crossBetween val="midCat"/>
      </c:valAx>
      <c:valAx>
        <c:axId val="34530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5300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'СО2 1.2'!$F$2:$F$13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'СО2 1.2'!$G$2:$G$13</c:f>
              <c:numCache>
                <c:formatCode>General</c:formatCode>
                <c:ptCount val="12"/>
                <c:pt idx="0">
                  <c:v>0</c:v>
                </c:pt>
                <c:pt idx="1">
                  <c:v>105</c:v>
                </c:pt>
                <c:pt idx="2">
                  <c:v>284</c:v>
                </c:pt>
                <c:pt idx="3">
                  <c:v>431</c:v>
                </c:pt>
                <c:pt idx="4">
                  <c:v>548</c:v>
                </c:pt>
                <c:pt idx="5">
                  <c:v>735</c:v>
                </c:pt>
                <c:pt idx="6">
                  <c:v>871</c:v>
                </c:pt>
                <c:pt idx="7">
                  <c:v>1002</c:v>
                </c:pt>
                <c:pt idx="8">
                  <c:v>1193</c:v>
                </c:pt>
                <c:pt idx="9">
                  <c:v>1340</c:v>
                </c:pt>
                <c:pt idx="10">
                  <c:v>1469</c:v>
                </c:pt>
                <c:pt idx="11">
                  <c:v>1644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29-4D57-A593-87164B9164C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'СО2 1.2'!$F$2:$F$13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'СО2 1.2'!$H$2:$H$13</c:f>
              <c:numCache>
                <c:formatCode>General</c:formatCode>
                <c:ptCount val="12"/>
                <c:pt idx="0">
                  <c:v>0</c:v>
                </c:pt>
                <c:pt idx="1">
                  <c:v>129</c:v>
                </c:pt>
                <c:pt idx="2">
                  <c:v>339</c:v>
                </c:pt>
                <c:pt idx="3">
                  <c:v>462</c:v>
                </c:pt>
                <c:pt idx="4">
                  <c:v>649</c:v>
                </c:pt>
                <c:pt idx="5">
                  <c:v>836</c:v>
                </c:pt>
                <c:pt idx="6">
                  <c:v>969</c:v>
                </c:pt>
                <c:pt idx="7">
                  <c:v>1183</c:v>
                </c:pt>
                <c:pt idx="8">
                  <c:v>1342</c:v>
                </c:pt>
                <c:pt idx="9">
                  <c:v>1501</c:v>
                </c:pt>
                <c:pt idx="10">
                  <c:v>1690</c:v>
                </c:pt>
                <c:pt idx="11">
                  <c:v>1830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29-4D57-A593-87164B9164C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'СО2 1.2'!$F$2:$F$13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'СО2 1.2'!$I$2:$I$13</c:f>
              <c:numCache>
                <c:formatCode>General</c:formatCode>
                <c:ptCount val="12"/>
                <c:pt idx="0">
                  <c:v>0</c:v>
                </c:pt>
                <c:pt idx="1">
                  <c:v>171</c:v>
                </c:pt>
                <c:pt idx="2">
                  <c:v>391</c:v>
                </c:pt>
                <c:pt idx="3">
                  <c:v>536</c:v>
                </c:pt>
                <c:pt idx="4">
                  <c:v>785</c:v>
                </c:pt>
                <c:pt idx="5">
                  <c:v>919</c:v>
                </c:pt>
                <c:pt idx="6">
                  <c:v>1172</c:v>
                </c:pt>
                <c:pt idx="7">
                  <c:v>1344</c:v>
                </c:pt>
                <c:pt idx="8">
                  <c:v>1546</c:v>
                </c:pt>
                <c:pt idx="9">
                  <c:v>1736</c:v>
                </c:pt>
                <c:pt idx="10">
                  <c:v>1917</c:v>
                </c:pt>
                <c:pt idx="11">
                  <c:v>2120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29-4D57-A593-87164B916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301312"/>
        <c:axId val="345326752"/>
      </c:scatterChart>
      <c:valAx>
        <c:axId val="34530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5326752"/>
        <c:crosses val="autoZero"/>
        <c:crossBetween val="midCat"/>
      </c:valAx>
      <c:valAx>
        <c:axId val="34532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5301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83820</xdr:rowOff>
    </xdr:from>
    <xdr:to>
      <xdr:col>10</xdr:col>
      <xdr:colOff>137160</xdr:colOff>
      <xdr:row>36</xdr:row>
      <xdr:rowOff>45720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BD0C62D-F7B7-A2C0-2DBA-3B2AAC521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236220</xdr:colOff>
      <xdr:row>0</xdr:row>
      <xdr:rowOff>26670</xdr:rowOff>
    </xdr:from>
    <xdr:to>
      <xdr:col>23</xdr:col>
      <xdr:colOff>541020</xdr:colOff>
      <xdr:row>15</xdr:row>
      <xdr:rowOff>26670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C1B8F1A-AF32-09D1-DB4E-E1A652F5B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464820</xdr:colOff>
      <xdr:row>15</xdr:row>
      <xdr:rowOff>125730</xdr:rowOff>
    </xdr:from>
    <xdr:to>
      <xdr:col>17</xdr:col>
      <xdr:colOff>601980</xdr:colOff>
      <xdr:row>30</xdr:row>
      <xdr:rowOff>125730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96F9126-BA5B-F032-481E-9F772D919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</xdr:colOff>
      <xdr:row>2</xdr:row>
      <xdr:rowOff>19050</xdr:rowOff>
    </xdr:from>
    <xdr:to>
      <xdr:col>21</xdr:col>
      <xdr:colOff>304800</xdr:colOff>
      <xdr:row>28</xdr:row>
      <xdr:rowOff>68580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F48A9CC-9D2C-CD22-9D9D-A713FBFAC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502920</xdr:colOff>
      <xdr:row>0</xdr:row>
      <xdr:rowOff>160020</xdr:rowOff>
    </xdr:from>
    <xdr:to>
      <xdr:col>25</xdr:col>
      <xdr:colOff>335280</xdr:colOff>
      <xdr:row>33</xdr:row>
      <xdr:rowOff>53340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76FBAD5-08F2-C8BF-489D-FCC667038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144780</xdr:colOff>
      <xdr:row>1</xdr:row>
      <xdr:rowOff>171450</xdr:rowOff>
    </xdr:from>
    <xdr:to>
      <xdr:col>27</xdr:col>
      <xdr:colOff>449580</xdr:colOff>
      <xdr:row>28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D949BE9-675A-CE29-EE75-15A463790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396240</xdr:colOff>
      <xdr:row>2</xdr:row>
      <xdr:rowOff>87630</xdr:rowOff>
    </xdr:from>
    <xdr:to>
      <xdr:col>21</xdr:col>
      <xdr:colOff>91440</xdr:colOff>
      <xdr:row>17</xdr:row>
      <xdr:rowOff>87630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941FC43-0A93-5A2A-DA64-DDAF310C9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F60A-EABA-4EA9-B7A7-EE39FB903151}">
  <dimension ref="A1:P15"/>
  <sheetViews>
    <sheetView workbookViewId="0">
      <selection activeCell="C4" sqref="C4"/>
    </sheetView>
  </sheetViews>
  <sheetFormatPr defaultRowHeight="14.4" x14ac:dyDescent="0.3"/>
  <cols>
    <col min="9" max="9" width="10.88671875" customWidth="1"/>
    <col min="12" max="12" width="11.33203125" customWidth="1"/>
  </cols>
  <sheetData>
    <row r="1" spans="1:16" x14ac:dyDescent="0.3">
      <c r="A1" t="s">
        <v>4</v>
      </c>
      <c r="B1">
        <v>0.7</v>
      </c>
      <c r="C1">
        <v>0.72</v>
      </c>
      <c r="D1">
        <v>0.71499999999999997</v>
      </c>
      <c r="E1">
        <v>0.71</v>
      </c>
      <c r="F1">
        <v>0.70499999999999996</v>
      </c>
    </row>
    <row r="2" spans="1:16" x14ac:dyDescent="0.3">
      <c r="A2" t="s">
        <v>2</v>
      </c>
      <c r="I2" s="1" t="s">
        <v>9</v>
      </c>
      <c r="J2" s="1"/>
    </row>
    <row r="3" spans="1:16" x14ac:dyDescent="0.3">
      <c r="A3">
        <v>1</v>
      </c>
      <c r="B3">
        <v>254</v>
      </c>
      <c r="C3">
        <v>220</v>
      </c>
      <c r="D3">
        <v>228</v>
      </c>
      <c r="E3">
        <v>237</v>
      </c>
      <c r="F3">
        <v>245</v>
      </c>
      <c r="I3" s="1" t="s">
        <v>1</v>
      </c>
      <c r="J3" s="1">
        <v>1</v>
      </c>
      <c r="K3" s="1">
        <v>2</v>
      </c>
      <c r="L3" s="1">
        <v>3</v>
      </c>
      <c r="M3" s="1">
        <v>4</v>
      </c>
      <c r="N3" s="1">
        <v>5</v>
      </c>
      <c r="O3" s="1" t="s">
        <v>11</v>
      </c>
      <c r="P3" t="s">
        <v>12</v>
      </c>
    </row>
    <row r="4" spans="1:16" x14ac:dyDescent="0.3">
      <c r="A4">
        <v>2</v>
      </c>
      <c r="B4">
        <v>474</v>
      </c>
      <c r="C4">
        <v>485</v>
      </c>
      <c r="D4">
        <v>377</v>
      </c>
      <c r="E4">
        <v>403</v>
      </c>
      <c r="F4">
        <v>435</v>
      </c>
      <c r="I4" s="1">
        <v>2548</v>
      </c>
      <c r="J4" s="1">
        <v>4.2</v>
      </c>
      <c r="K4" s="1">
        <v>10.9</v>
      </c>
      <c r="L4" s="1">
        <v>17.600000000000001</v>
      </c>
      <c r="M4" s="1"/>
      <c r="N4" s="1"/>
      <c r="O4" s="1">
        <v>6.7</v>
      </c>
      <c r="P4">
        <f>O4*I4*2/100</f>
        <v>341.43200000000002</v>
      </c>
    </row>
    <row r="5" spans="1:16" x14ac:dyDescent="0.3">
      <c r="A5">
        <v>3</v>
      </c>
      <c r="B5">
        <v>755</v>
      </c>
      <c r="C5">
        <v>774</v>
      </c>
      <c r="D5">
        <v>801</v>
      </c>
      <c r="E5">
        <v>833</v>
      </c>
      <c r="F5">
        <v>718</v>
      </c>
      <c r="I5" s="1">
        <v>3421</v>
      </c>
      <c r="J5" s="1">
        <v>3.3</v>
      </c>
      <c r="K5" s="1">
        <v>8.4</v>
      </c>
      <c r="L5" s="1">
        <v>13.3</v>
      </c>
      <c r="M5" s="1">
        <v>18.399999999999999</v>
      </c>
      <c r="N5" s="1"/>
      <c r="O5" s="1">
        <v>5.0199999999999996</v>
      </c>
      <c r="P5">
        <f t="shared" ref="P5:P7" si="0">O5*I5*2/100</f>
        <v>343.46839999999997</v>
      </c>
    </row>
    <row r="6" spans="1:16" x14ac:dyDescent="0.3">
      <c r="A6">
        <v>4</v>
      </c>
      <c r="B6">
        <v>944</v>
      </c>
      <c r="C6">
        <v>1166</v>
      </c>
      <c r="D6">
        <v>993</v>
      </c>
      <c r="E6">
        <v>1075</v>
      </c>
      <c r="F6">
        <v>878</v>
      </c>
      <c r="I6" s="1">
        <v>4263</v>
      </c>
      <c r="J6" s="1">
        <v>4.7</v>
      </c>
      <c r="K6" s="1">
        <v>8.8000000000000007</v>
      </c>
      <c r="L6" s="1">
        <v>12.9</v>
      </c>
      <c r="M6" s="1">
        <v>16.899999999999999</v>
      </c>
      <c r="N6" s="1">
        <v>21</v>
      </c>
      <c r="O6" s="1">
        <v>4.07</v>
      </c>
      <c r="P6">
        <f t="shared" si="0"/>
        <v>347.00819999999999</v>
      </c>
    </row>
    <row r="7" spans="1:16" x14ac:dyDescent="0.3">
      <c r="A7">
        <v>5</v>
      </c>
      <c r="B7">
        <v>1258</v>
      </c>
      <c r="C7">
        <v>1345</v>
      </c>
      <c r="D7">
        <v>1243</v>
      </c>
      <c r="E7">
        <v>1310</v>
      </c>
      <c r="F7">
        <v>1169</v>
      </c>
      <c r="I7" s="1">
        <v>5089</v>
      </c>
      <c r="J7" s="1">
        <v>4.7</v>
      </c>
      <c r="K7" s="1">
        <v>8.1</v>
      </c>
      <c r="L7" s="1">
        <v>11.5</v>
      </c>
      <c r="M7" s="1">
        <v>14.8</v>
      </c>
      <c r="N7" s="1">
        <v>18.2</v>
      </c>
      <c r="O7" s="1">
        <v>3.37</v>
      </c>
      <c r="P7">
        <f t="shared" si="0"/>
        <v>342.99860000000001</v>
      </c>
    </row>
    <row r="8" spans="1:16" x14ac:dyDescent="0.3">
      <c r="A8">
        <v>6</v>
      </c>
      <c r="B8">
        <v>1433</v>
      </c>
      <c r="C8">
        <v>1507</v>
      </c>
      <c r="D8">
        <v>1393</v>
      </c>
      <c r="E8">
        <v>1476</v>
      </c>
      <c r="F8">
        <v>1361</v>
      </c>
      <c r="I8" s="1" t="s">
        <v>8</v>
      </c>
      <c r="J8" s="1"/>
      <c r="K8" s="1"/>
      <c r="L8" s="1"/>
      <c r="M8" s="1"/>
      <c r="N8" s="1"/>
      <c r="O8" s="1"/>
      <c r="P8" s="1"/>
    </row>
    <row r="9" spans="1:16" x14ac:dyDescent="0.3">
      <c r="A9">
        <v>7</v>
      </c>
      <c r="B9">
        <v>1758</v>
      </c>
      <c r="C9">
        <v>1757</v>
      </c>
      <c r="D9">
        <v>1621</v>
      </c>
      <c r="E9">
        <v>1759</v>
      </c>
      <c r="F9">
        <v>1601</v>
      </c>
      <c r="I9" s="1" t="s">
        <v>1</v>
      </c>
      <c r="J9" s="1">
        <v>1</v>
      </c>
      <c r="K9" s="1">
        <v>2</v>
      </c>
      <c r="L9" s="1">
        <v>3</v>
      </c>
      <c r="M9" s="1">
        <v>4</v>
      </c>
      <c r="N9" s="1">
        <v>5</v>
      </c>
      <c r="O9" s="1" t="s">
        <v>11</v>
      </c>
      <c r="P9" t="s">
        <v>12</v>
      </c>
    </row>
    <row r="10" spans="1:16" x14ac:dyDescent="0.3">
      <c r="A10">
        <v>8</v>
      </c>
      <c r="B10">
        <v>1983</v>
      </c>
      <c r="C10">
        <v>2112</v>
      </c>
      <c r="D10">
        <v>2035</v>
      </c>
      <c r="E10">
        <v>1961</v>
      </c>
      <c r="F10">
        <v>1890</v>
      </c>
      <c r="I10" s="1">
        <v>2493</v>
      </c>
      <c r="J10" s="1">
        <v>5.0999999999999996</v>
      </c>
      <c r="K10" s="1">
        <v>11.2</v>
      </c>
      <c r="L10" s="1">
        <v>17.399999999999999</v>
      </c>
      <c r="M10" s="1"/>
      <c r="N10" s="1"/>
      <c r="O10" s="1">
        <v>6.15</v>
      </c>
      <c r="P10">
        <f>O10*I10*2/100</f>
        <v>306.63900000000001</v>
      </c>
    </row>
    <row r="11" spans="1:16" x14ac:dyDescent="0.3">
      <c r="A11">
        <v>9</v>
      </c>
      <c r="B11">
        <v>2236</v>
      </c>
      <c r="C11">
        <v>2334</v>
      </c>
      <c r="D11">
        <v>2257</v>
      </c>
      <c r="E11">
        <v>2167</v>
      </c>
      <c r="F11">
        <v>2069</v>
      </c>
      <c r="I11" s="1">
        <v>2745</v>
      </c>
      <c r="J11" s="1">
        <v>5.9</v>
      </c>
      <c r="K11" s="1">
        <v>10.5</v>
      </c>
      <c r="L11" s="1">
        <v>15.8</v>
      </c>
      <c r="M11" s="1">
        <v>20.6</v>
      </c>
      <c r="N11" s="1"/>
      <c r="O11" s="1">
        <v>5.14</v>
      </c>
      <c r="P11">
        <f t="shared" ref="P11:P13" si="1">O11*I11*2/100</f>
        <v>282.18599999999998</v>
      </c>
    </row>
    <row r="12" spans="1:16" x14ac:dyDescent="0.3">
      <c r="A12">
        <v>10</v>
      </c>
      <c r="B12">
        <v>2477</v>
      </c>
      <c r="C12">
        <v>2502</v>
      </c>
      <c r="D12">
        <v>2458</v>
      </c>
      <c r="E12">
        <v>2406</v>
      </c>
      <c r="F12">
        <v>2337</v>
      </c>
      <c r="I12" s="1">
        <v>3010</v>
      </c>
      <c r="J12" s="1">
        <v>0.9</v>
      </c>
      <c r="K12" s="1">
        <v>6.2</v>
      </c>
      <c r="L12" s="1">
        <v>11.5</v>
      </c>
      <c r="M12" s="1">
        <v>17.2</v>
      </c>
      <c r="N12" s="1">
        <v>22.5</v>
      </c>
      <c r="O12" s="1">
        <v>4.82</v>
      </c>
      <c r="P12">
        <f t="shared" si="1"/>
        <v>290.16399999999999</v>
      </c>
    </row>
    <row r="13" spans="1:16" x14ac:dyDescent="0.3">
      <c r="A13">
        <v>11</v>
      </c>
      <c r="B13">
        <v>2709</v>
      </c>
      <c r="C13">
        <v>2689</v>
      </c>
      <c r="D13">
        <v>2638</v>
      </c>
      <c r="E13">
        <v>2583</v>
      </c>
      <c r="F13">
        <v>2531</v>
      </c>
      <c r="I13" s="1">
        <v>3268</v>
      </c>
      <c r="J13" s="1">
        <v>1</v>
      </c>
      <c r="K13" s="1">
        <v>5.5</v>
      </c>
      <c r="L13" s="1">
        <v>9.6999999999999993</v>
      </c>
      <c r="M13" s="1">
        <v>13.9</v>
      </c>
      <c r="N13" s="1">
        <v>18.8</v>
      </c>
      <c r="O13" s="1">
        <v>4.4000000000000004</v>
      </c>
      <c r="P13">
        <f t="shared" si="1"/>
        <v>287.584</v>
      </c>
    </row>
    <row r="14" spans="1:16" x14ac:dyDescent="0.3">
      <c r="A14">
        <v>12</v>
      </c>
      <c r="B14">
        <v>2966</v>
      </c>
      <c r="C14">
        <v>2899</v>
      </c>
      <c r="D14">
        <v>2864</v>
      </c>
      <c r="E14">
        <v>2823</v>
      </c>
      <c r="F14">
        <v>2775</v>
      </c>
    </row>
    <row r="15" spans="1:16" x14ac:dyDescent="0.3">
      <c r="E15">
        <v>3023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C4C4-F130-4D18-8D6F-D254D45494F1}">
  <dimension ref="A1:D14"/>
  <sheetViews>
    <sheetView workbookViewId="0">
      <selection activeCell="E24" sqref="E24"/>
    </sheetView>
  </sheetViews>
  <sheetFormatPr defaultRowHeight="14.4" x14ac:dyDescent="0.3"/>
  <sheetData>
    <row r="1" spans="1:4" x14ac:dyDescent="0.3">
      <c r="A1" t="s">
        <v>3</v>
      </c>
    </row>
    <row r="2" spans="1:4" x14ac:dyDescent="0.3">
      <c r="A2" t="s">
        <v>1</v>
      </c>
      <c r="B2">
        <v>0.7</v>
      </c>
      <c r="C2">
        <v>0.71</v>
      </c>
      <c r="D2">
        <v>0.72</v>
      </c>
    </row>
    <row r="3" spans="1:4" x14ac:dyDescent="0.3">
      <c r="A3">
        <v>1</v>
      </c>
      <c r="B3">
        <v>199</v>
      </c>
      <c r="C3">
        <v>185</v>
      </c>
      <c r="D3">
        <v>171</v>
      </c>
    </row>
    <row r="4" spans="1:4" x14ac:dyDescent="0.3">
      <c r="A4">
        <v>2</v>
      </c>
      <c r="B4">
        <v>370</v>
      </c>
      <c r="C4">
        <v>314</v>
      </c>
      <c r="D4">
        <v>276</v>
      </c>
    </row>
    <row r="5" spans="1:4" x14ac:dyDescent="0.3">
      <c r="A5">
        <v>3</v>
      </c>
      <c r="B5">
        <v>590</v>
      </c>
      <c r="C5">
        <v>524</v>
      </c>
      <c r="D5">
        <v>455</v>
      </c>
    </row>
    <row r="6" spans="1:4" x14ac:dyDescent="0.3">
      <c r="A6">
        <v>4</v>
      </c>
      <c r="B6">
        <v>735</v>
      </c>
      <c r="C6">
        <v>647</v>
      </c>
      <c r="D6">
        <v>602</v>
      </c>
    </row>
    <row r="7" spans="1:4" x14ac:dyDescent="0.3">
      <c r="A7">
        <v>5</v>
      </c>
      <c r="B7">
        <v>984</v>
      </c>
      <c r="C7">
        <v>834</v>
      </c>
      <c r="D7">
        <v>719</v>
      </c>
    </row>
    <row r="8" spans="1:4" x14ac:dyDescent="0.3">
      <c r="A8">
        <v>6</v>
      </c>
      <c r="B8">
        <v>1118</v>
      </c>
      <c r="C8">
        <v>1021</v>
      </c>
      <c r="D8">
        <v>906</v>
      </c>
    </row>
    <row r="9" spans="1:4" x14ac:dyDescent="0.3">
      <c r="A9">
        <v>7</v>
      </c>
      <c r="B9">
        <v>1371</v>
      </c>
      <c r="C9">
        <v>1154</v>
      </c>
      <c r="D9">
        <v>1042</v>
      </c>
    </row>
    <row r="10" spans="1:4" x14ac:dyDescent="0.3">
      <c r="A10">
        <v>8</v>
      </c>
      <c r="B10">
        <v>1543</v>
      </c>
      <c r="C10">
        <v>1368</v>
      </c>
      <c r="D10">
        <v>1173</v>
      </c>
    </row>
    <row r="11" spans="1:4" x14ac:dyDescent="0.3">
      <c r="A11">
        <v>9</v>
      </c>
      <c r="B11">
        <v>1745</v>
      </c>
      <c r="C11">
        <v>1527</v>
      </c>
      <c r="D11">
        <v>1364</v>
      </c>
    </row>
    <row r="12" spans="1:4" x14ac:dyDescent="0.3">
      <c r="A12">
        <v>10</v>
      </c>
      <c r="B12">
        <v>1935</v>
      </c>
      <c r="C12">
        <v>1686</v>
      </c>
      <c r="D12">
        <v>1511</v>
      </c>
    </row>
    <row r="13" spans="1:4" x14ac:dyDescent="0.3">
      <c r="A13">
        <v>11</v>
      </c>
      <c r="B13">
        <v>2116</v>
      </c>
      <c r="C13">
        <v>1875</v>
      </c>
      <c r="D13">
        <v>1640</v>
      </c>
    </row>
    <row r="14" spans="1:4" x14ac:dyDescent="0.3">
      <c r="A14">
        <v>12</v>
      </c>
      <c r="B14">
        <v>2319</v>
      </c>
      <c r="C14">
        <v>2015</v>
      </c>
      <c r="D14">
        <v>1815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5ADD-8DF1-4321-A4CA-74FD89C62366}">
  <dimension ref="A1:I74"/>
  <sheetViews>
    <sheetView tabSelected="1" workbookViewId="0">
      <selection activeCell="C22" sqref="C22:E22"/>
    </sheetView>
  </sheetViews>
  <sheetFormatPr defaultRowHeight="14.4" x14ac:dyDescent="0.3"/>
  <sheetData>
    <row r="1" spans="1:9" x14ac:dyDescent="0.3">
      <c r="B1" t="s">
        <v>5</v>
      </c>
      <c r="D1" t="s">
        <v>6</v>
      </c>
      <c r="F1" t="s">
        <v>7</v>
      </c>
    </row>
    <row r="2" spans="1:9" x14ac:dyDescent="0.3">
      <c r="A2" t="s">
        <v>2</v>
      </c>
      <c r="B2" t="s">
        <v>0</v>
      </c>
      <c r="C2" t="s">
        <v>18</v>
      </c>
      <c r="I2">
        <v>12</v>
      </c>
    </row>
    <row r="3" spans="1:9" x14ac:dyDescent="0.3">
      <c r="A3">
        <v>1</v>
      </c>
      <c r="B3">
        <v>204</v>
      </c>
      <c r="C3">
        <f>B3-B$3</f>
        <v>0</v>
      </c>
      <c r="D3">
        <v>204</v>
      </c>
      <c r="E3">
        <f>D3-D$3</f>
        <v>0</v>
      </c>
      <c r="F3">
        <v>204</v>
      </c>
      <c r="G3">
        <f>F3-F$3</f>
        <v>0</v>
      </c>
      <c r="I3">
        <v>1</v>
      </c>
    </row>
    <row r="4" spans="1:9" x14ac:dyDescent="0.3">
      <c r="A4">
        <v>2</v>
      </c>
      <c r="B4">
        <v>468</v>
      </c>
      <c r="C4">
        <f t="shared" ref="C4:E14" si="0">B4-B$3</f>
        <v>264</v>
      </c>
      <c r="D4">
        <v>461</v>
      </c>
      <c r="E4">
        <f t="shared" si="0"/>
        <v>257</v>
      </c>
      <c r="F4">
        <v>454</v>
      </c>
      <c r="G4">
        <f t="shared" ref="G4" si="1">F4-F$3</f>
        <v>250</v>
      </c>
      <c r="I4">
        <v>2</v>
      </c>
    </row>
    <row r="5" spans="1:9" x14ac:dyDescent="0.3">
      <c r="A5">
        <v>3</v>
      </c>
      <c r="B5">
        <v>688</v>
      </c>
      <c r="C5">
        <f t="shared" si="0"/>
        <v>484</v>
      </c>
      <c r="D5">
        <v>678</v>
      </c>
      <c r="E5">
        <f t="shared" si="0"/>
        <v>474</v>
      </c>
      <c r="F5">
        <v>668</v>
      </c>
      <c r="G5">
        <f t="shared" ref="G5" si="2">F5-F$3</f>
        <v>464</v>
      </c>
      <c r="I5">
        <v>3</v>
      </c>
    </row>
    <row r="6" spans="1:9" x14ac:dyDescent="0.3">
      <c r="A6">
        <v>4</v>
      </c>
      <c r="B6">
        <v>911</v>
      </c>
      <c r="C6">
        <f t="shared" si="0"/>
        <v>707</v>
      </c>
      <c r="D6">
        <v>897</v>
      </c>
      <c r="E6">
        <f t="shared" si="0"/>
        <v>693</v>
      </c>
      <c r="F6">
        <v>883</v>
      </c>
      <c r="G6">
        <f t="shared" ref="G6" si="3">F6-F$3</f>
        <v>679</v>
      </c>
      <c r="I6">
        <v>4</v>
      </c>
    </row>
    <row r="7" spans="1:9" x14ac:dyDescent="0.3">
      <c r="A7">
        <v>5</v>
      </c>
      <c r="B7">
        <v>1136</v>
      </c>
      <c r="C7">
        <f t="shared" si="0"/>
        <v>932</v>
      </c>
      <c r="D7">
        <v>1118</v>
      </c>
      <c r="E7">
        <f t="shared" si="0"/>
        <v>914</v>
      </c>
      <c r="F7">
        <v>1101</v>
      </c>
      <c r="G7">
        <f t="shared" ref="G7" si="4">F7-F$3</f>
        <v>897</v>
      </c>
      <c r="I7">
        <v>5</v>
      </c>
    </row>
    <row r="8" spans="1:9" x14ac:dyDescent="0.3">
      <c r="A8">
        <v>6</v>
      </c>
      <c r="B8">
        <v>1362</v>
      </c>
      <c r="C8">
        <f t="shared" si="0"/>
        <v>1158</v>
      </c>
      <c r="D8">
        <v>1341</v>
      </c>
      <c r="E8">
        <f t="shared" si="0"/>
        <v>1137</v>
      </c>
      <c r="F8">
        <v>1320</v>
      </c>
      <c r="G8">
        <f t="shared" ref="G8" si="5">F8-F$3</f>
        <v>1116</v>
      </c>
      <c r="I8">
        <v>6</v>
      </c>
    </row>
    <row r="9" spans="1:9" x14ac:dyDescent="0.3">
      <c r="A9">
        <v>7</v>
      </c>
      <c r="B9">
        <v>1587</v>
      </c>
      <c r="C9">
        <f t="shared" si="0"/>
        <v>1383</v>
      </c>
      <c r="D9">
        <v>1565</v>
      </c>
      <c r="E9">
        <f t="shared" si="0"/>
        <v>1361</v>
      </c>
      <c r="F9">
        <v>1539</v>
      </c>
      <c r="G9">
        <f t="shared" ref="G9" si="6">F9-F$3</f>
        <v>1335</v>
      </c>
      <c r="I9">
        <v>7</v>
      </c>
    </row>
    <row r="10" spans="1:9" x14ac:dyDescent="0.3">
      <c r="A10">
        <v>8</v>
      </c>
      <c r="B10">
        <v>1813</v>
      </c>
      <c r="C10">
        <f t="shared" si="0"/>
        <v>1609</v>
      </c>
      <c r="D10">
        <v>1786</v>
      </c>
      <c r="E10">
        <f t="shared" si="0"/>
        <v>1582</v>
      </c>
      <c r="F10">
        <v>1757</v>
      </c>
      <c r="G10">
        <f t="shared" ref="G10" si="7">F10-F$3</f>
        <v>1553</v>
      </c>
      <c r="I10">
        <v>8</v>
      </c>
    </row>
    <row r="11" spans="1:9" x14ac:dyDescent="0.3">
      <c r="A11">
        <v>9</v>
      </c>
      <c r="B11">
        <v>2038</v>
      </c>
      <c r="C11">
        <f t="shared" si="0"/>
        <v>1834</v>
      </c>
      <c r="D11">
        <v>2008</v>
      </c>
      <c r="E11">
        <f t="shared" si="0"/>
        <v>1804</v>
      </c>
      <c r="F11">
        <v>1976</v>
      </c>
      <c r="G11">
        <f t="shared" ref="G11" si="8">F11-F$3</f>
        <v>1772</v>
      </c>
      <c r="I11">
        <v>9</v>
      </c>
    </row>
    <row r="12" spans="1:9" x14ac:dyDescent="0.3">
      <c r="A12">
        <v>10</v>
      </c>
      <c r="B12">
        <v>2264</v>
      </c>
      <c r="C12">
        <f t="shared" si="0"/>
        <v>2060</v>
      </c>
      <c r="D12">
        <v>2230</v>
      </c>
      <c r="E12">
        <f t="shared" si="0"/>
        <v>2026</v>
      </c>
      <c r="F12">
        <v>2197</v>
      </c>
      <c r="G12">
        <f t="shared" ref="G12" si="9">F12-F$3</f>
        <v>1993</v>
      </c>
      <c r="I12">
        <v>10</v>
      </c>
    </row>
    <row r="13" spans="1:9" x14ac:dyDescent="0.3">
      <c r="A13">
        <v>11</v>
      </c>
      <c r="B13">
        <v>2490</v>
      </c>
      <c r="C13">
        <f t="shared" si="0"/>
        <v>2286</v>
      </c>
      <c r="D13">
        <v>2453</v>
      </c>
      <c r="E13">
        <f t="shared" si="0"/>
        <v>2249</v>
      </c>
      <c r="F13">
        <v>2414</v>
      </c>
      <c r="G13">
        <f t="shared" ref="G13" si="10">F13-F$3</f>
        <v>2210</v>
      </c>
      <c r="I13">
        <v>11</v>
      </c>
    </row>
    <row r="14" spans="1:9" x14ac:dyDescent="0.3">
      <c r="A14">
        <v>12</v>
      </c>
      <c r="B14">
        <v>2717</v>
      </c>
      <c r="C14">
        <f t="shared" si="0"/>
        <v>2513</v>
      </c>
      <c r="D14">
        <v>2675</v>
      </c>
      <c r="E14">
        <f t="shared" si="0"/>
        <v>2471</v>
      </c>
      <c r="F14">
        <v>2634</v>
      </c>
      <c r="G14">
        <f t="shared" ref="G14" si="11">F14-F$3</f>
        <v>2430</v>
      </c>
      <c r="I14">
        <v>12</v>
      </c>
    </row>
    <row r="15" spans="1:9" x14ac:dyDescent="0.3">
      <c r="I15">
        <v>0</v>
      </c>
    </row>
    <row r="16" spans="1:9" x14ac:dyDescent="0.3">
      <c r="C16">
        <v>226.44800000000001</v>
      </c>
      <c r="E16">
        <v>222.923</v>
      </c>
      <c r="G16">
        <v>219.31800000000001</v>
      </c>
      <c r="I16">
        <v>264</v>
      </c>
    </row>
    <row r="17" spans="1:9" x14ac:dyDescent="0.3">
      <c r="C17">
        <f>C16*2*0.8</f>
        <v>362.31680000000006</v>
      </c>
      <c r="E17">
        <f>E16*2*0.8</f>
        <v>356.67680000000001</v>
      </c>
      <c r="G17">
        <f>G16*2*0.8</f>
        <v>350.90880000000004</v>
      </c>
      <c r="I17">
        <v>484</v>
      </c>
    </row>
    <row r="18" spans="1:9" x14ac:dyDescent="0.3">
      <c r="A18" t="s">
        <v>19</v>
      </c>
      <c r="I18">
        <v>707</v>
      </c>
    </row>
    <row r="19" spans="1:9" x14ac:dyDescent="0.3">
      <c r="A19">
        <v>0.8</v>
      </c>
      <c r="B19" t="s">
        <v>20</v>
      </c>
      <c r="C19">
        <v>50</v>
      </c>
      <c r="D19">
        <v>40</v>
      </c>
      <c r="E19">
        <v>30</v>
      </c>
      <c r="I19">
        <v>932</v>
      </c>
    </row>
    <row r="20" spans="1:9" x14ac:dyDescent="0.3">
      <c r="B20" t="s">
        <v>21</v>
      </c>
      <c r="C20" s="7">
        <v>226.44800000000001</v>
      </c>
      <c r="D20" s="7">
        <v>222.923</v>
      </c>
      <c r="E20" s="7">
        <v>219.31800000000001</v>
      </c>
      <c r="I20">
        <v>1158</v>
      </c>
    </row>
    <row r="21" spans="1:9" x14ac:dyDescent="0.3">
      <c r="B21" t="s">
        <v>17</v>
      </c>
      <c r="C21" s="7">
        <f>C20*2*0.8</f>
        <v>362.31680000000006</v>
      </c>
      <c r="D21" s="7">
        <f>D20*2*0.8</f>
        <v>356.67680000000001</v>
      </c>
      <c r="E21" s="7">
        <f>E20*2*0.8</f>
        <v>350.90880000000004</v>
      </c>
      <c r="I21">
        <v>1383</v>
      </c>
    </row>
    <row r="22" spans="1:9" x14ac:dyDescent="0.3">
      <c r="I22">
        <v>1609</v>
      </c>
    </row>
    <row r="23" spans="1:9" x14ac:dyDescent="0.3">
      <c r="I23">
        <v>1834</v>
      </c>
    </row>
    <row r="24" spans="1:9" x14ac:dyDescent="0.3">
      <c r="I24">
        <v>2060</v>
      </c>
    </row>
    <row r="25" spans="1:9" x14ac:dyDescent="0.3">
      <c r="I25">
        <v>2286</v>
      </c>
    </row>
    <row r="26" spans="1:9" x14ac:dyDescent="0.3">
      <c r="I26">
        <v>2513</v>
      </c>
    </row>
    <row r="27" spans="1:9" x14ac:dyDescent="0.3">
      <c r="I27">
        <v>1</v>
      </c>
    </row>
    <row r="28" spans="1:9" x14ac:dyDescent="0.3">
      <c r="I28">
        <v>2</v>
      </c>
    </row>
    <row r="29" spans="1:9" x14ac:dyDescent="0.3">
      <c r="I29">
        <v>3</v>
      </c>
    </row>
    <row r="30" spans="1:9" x14ac:dyDescent="0.3">
      <c r="I30">
        <v>4</v>
      </c>
    </row>
    <row r="31" spans="1:9" x14ac:dyDescent="0.3">
      <c r="I31">
        <v>5</v>
      </c>
    </row>
    <row r="32" spans="1:9" x14ac:dyDescent="0.3">
      <c r="I32">
        <v>6</v>
      </c>
    </row>
    <row r="33" spans="9:9" x14ac:dyDescent="0.3">
      <c r="I33">
        <v>7</v>
      </c>
    </row>
    <row r="34" spans="9:9" x14ac:dyDescent="0.3">
      <c r="I34">
        <v>8</v>
      </c>
    </row>
    <row r="35" spans="9:9" x14ac:dyDescent="0.3">
      <c r="I35">
        <v>9</v>
      </c>
    </row>
    <row r="36" spans="9:9" x14ac:dyDescent="0.3">
      <c r="I36">
        <v>10</v>
      </c>
    </row>
    <row r="37" spans="9:9" x14ac:dyDescent="0.3">
      <c r="I37">
        <v>11</v>
      </c>
    </row>
    <row r="38" spans="9:9" x14ac:dyDescent="0.3">
      <c r="I38">
        <v>12</v>
      </c>
    </row>
    <row r="39" spans="9:9" x14ac:dyDescent="0.3">
      <c r="I39">
        <v>0</v>
      </c>
    </row>
    <row r="40" spans="9:9" x14ac:dyDescent="0.3">
      <c r="I40">
        <v>257</v>
      </c>
    </row>
    <row r="41" spans="9:9" x14ac:dyDescent="0.3">
      <c r="I41">
        <v>474</v>
      </c>
    </row>
    <row r="42" spans="9:9" x14ac:dyDescent="0.3">
      <c r="I42">
        <v>693</v>
      </c>
    </row>
    <row r="43" spans="9:9" x14ac:dyDescent="0.3">
      <c r="I43">
        <v>914</v>
      </c>
    </row>
    <row r="44" spans="9:9" x14ac:dyDescent="0.3">
      <c r="I44">
        <v>1137</v>
      </c>
    </row>
    <row r="45" spans="9:9" x14ac:dyDescent="0.3">
      <c r="I45">
        <v>1361</v>
      </c>
    </row>
    <row r="46" spans="9:9" x14ac:dyDescent="0.3">
      <c r="I46">
        <v>1582</v>
      </c>
    </row>
    <row r="47" spans="9:9" x14ac:dyDescent="0.3">
      <c r="I47">
        <v>1804</v>
      </c>
    </row>
    <row r="48" spans="9:9" x14ac:dyDescent="0.3">
      <c r="I48">
        <v>2026</v>
      </c>
    </row>
    <row r="49" spans="9:9" x14ac:dyDescent="0.3">
      <c r="I49">
        <v>2249</v>
      </c>
    </row>
    <row r="50" spans="9:9" x14ac:dyDescent="0.3">
      <c r="I50">
        <v>2471</v>
      </c>
    </row>
    <row r="51" spans="9:9" x14ac:dyDescent="0.3">
      <c r="I51">
        <v>1</v>
      </c>
    </row>
    <row r="52" spans="9:9" x14ac:dyDescent="0.3">
      <c r="I52">
        <v>2</v>
      </c>
    </row>
    <row r="53" spans="9:9" x14ac:dyDescent="0.3">
      <c r="I53">
        <v>3</v>
      </c>
    </row>
    <row r="54" spans="9:9" x14ac:dyDescent="0.3">
      <c r="I54">
        <v>4</v>
      </c>
    </row>
    <row r="55" spans="9:9" x14ac:dyDescent="0.3">
      <c r="I55">
        <v>5</v>
      </c>
    </row>
    <row r="56" spans="9:9" x14ac:dyDescent="0.3">
      <c r="I56">
        <v>6</v>
      </c>
    </row>
    <row r="57" spans="9:9" x14ac:dyDescent="0.3">
      <c r="I57">
        <v>7</v>
      </c>
    </row>
    <row r="58" spans="9:9" x14ac:dyDescent="0.3">
      <c r="I58">
        <v>8</v>
      </c>
    </row>
    <row r="59" spans="9:9" x14ac:dyDescent="0.3">
      <c r="I59">
        <v>9</v>
      </c>
    </row>
    <row r="60" spans="9:9" x14ac:dyDescent="0.3">
      <c r="I60">
        <v>10</v>
      </c>
    </row>
    <row r="61" spans="9:9" x14ac:dyDescent="0.3">
      <c r="I61">
        <v>11</v>
      </c>
    </row>
    <row r="62" spans="9:9" x14ac:dyDescent="0.3">
      <c r="I62">
        <v>12</v>
      </c>
    </row>
    <row r="63" spans="9:9" x14ac:dyDescent="0.3">
      <c r="I63">
        <v>0</v>
      </c>
    </row>
    <row r="64" spans="9:9" x14ac:dyDescent="0.3">
      <c r="I64">
        <v>250</v>
      </c>
    </row>
    <row r="65" spans="9:9" x14ac:dyDescent="0.3">
      <c r="I65">
        <v>464</v>
      </c>
    </row>
    <row r="66" spans="9:9" x14ac:dyDescent="0.3">
      <c r="I66">
        <v>679</v>
      </c>
    </row>
    <row r="67" spans="9:9" x14ac:dyDescent="0.3">
      <c r="I67">
        <v>897</v>
      </c>
    </row>
    <row r="68" spans="9:9" x14ac:dyDescent="0.3">
      <c r="I68">
        <v>1116</v>
      </c>
    </row>
    <row r="69" spans="9:9" x14ac:dyDescent="0.3">
      <c r="I69">
        <v>1335</v>
      </c>
    </row>
    <row r="70" spans="9:9" x14ac:dyDescent="0.3">
      <c r="I70">
        <v>1553</v>
      </c>
    </row>
    <row r="71" spans="9:9" x14ac:dyDescent="0.3">
      <c r="I71">
        <v>1772</v>
      </c>
    </row>
    <row r="72" spans="9:9" x14ac:dyDescent="0.3">
      <c r="I72">
        <v>1993</v>
      </c>
    </row>
    <row r="73" spans="9:9" x14ac:dyDescent="0.3">
      <c r="I73">
        <v>2210</v>
      </c>
    </row>
    <row r="74" spans="9:9" x14ac:dyDescent="0.3">
      <c r="I74">
        <v>2430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6D6E-0292-413B-B763-A47F5BE8DBB1}">
  <dimension ref="A1:I57"/>
  <sheetViews>
    <sheetView workbookViewId="0">
      <selection activeCell="H20" sqref="H20:J23"/>
    </sheetView>
  </sheetViews>
  <sheetFormatPr defaultRowHeight="14.4" x14ac:dyDescent="0.3"/>
  <sheetData>
    <row r="1" spans="1:9" x14ac:dyDescent="0.3">
      <c r="A1" s="2" t="s">
        <v>10</v>
      </c>
      <c r="B1" s="3">
        <v>2548</v>
      </c>
      <c r="C1" s="3">
        <v>3421</v>
      </c>
      <c r="D1" s="3">
        <v>4263</v>
      </c>
      <c r="E1" s="3">
        <v>5089</v>
      </c>
      <c r="F1" s="1">
        <v>2493</v>
      </c>
      <c r="G1" s="1">
        <v>2745</v>
      </c>
      <c r="H1" s="1">
        <v>3010</v>
      </c>
      <c r="I1" s="1">
        <v>3268</v>
      </c>
    </row>
    <row r="2" spans="1:9" x14ac:dyDescent="0.3">
      <c r="A2" s="2" t="s">
        <v>2</v>
      </c>
      <c r="B2" s="4"/>
      <c r="C2" s="4"/>
      <c r="D2" s="4"/>
      <c r="E2" s="4"/>
      <c r="F2" s="5"/>
      <c r="G2" s="5"/>
      <c r="H2" s="5"/>
      <c r="I2" s="5"/>
    </row>
    <row r="3" spans="1:9" x14ac:dyDescent="0.3">
      <c r="A3" s="2">
        <v>1</v>
      </c>
      <c r="B3" s="3">
        <v>4.2</v>
      </c>
      <c r="C3" s="3">
        <v>3.3</v>
      </c>
      <c r="D3" s="3">
        <v>4.7</v>
      </c>
      <c r="E3" s="2">
        <v>4.7</v>
      </c>
      <c r="F3" s="1">
        <v>5.0999999999999996</v>
      </c>
      <c r="G3" s="1">
        <v>5.9</v>
      </c>
      <c r="H3" s="1">
        <v>0.9</v>
      </c>
      <c r="I3" s="1">
        <v>1</v>
      </c>
    </row>
    <row r="4" spans="1:9" x14ac:dyDescent="0.3">
      <c r="A4" s="2">
        <v>2</v>
      </c>
      <c r="B4" s="3">
        <v>10.9</v>
      </c>
      <c r="C4" s="3">
        <v>8.4</v>
      </c>
      <c r="D4" s="3">
        <v>8.8000000000000007</v>
      </c>
      <c r="E4" s="3">
        <v>8.1</v>
      </c>
      <c r="F4" s="1">
        <v>11.2</v>
      </c>
      <c r="G4" s="1">
        <v>10.5</v>
      </c>
      <c r="H4" s="1">
        <v>6.2</v>
      </c>
      <c r="I4" s="1">
        <v>5.5</v>
      </c>
    </row>
    <row r="5" spans="1:9" x14ac:dyDescent="0.3">
      <c r="A5" s="2">
        <v>3</v>
      </c>
      <c r="B5" s="3">
        <v>17.600000000000001</v>
      </c>
      <c r="C5" s="3">
        <v>13.3</v>
      </c>
      <c r="D5" s="3">
        <v>12.9</v>
      </c>
      <c r="E5" s="3">
        <v>11.5</v>
      </c>
      <c r="F5" s="1">
        <v>17.399999999999999</v>
      </c>
      <c r="G5" s="1">
        <v>15.8</v>
      </c>
      <c r="H5" s="1">
        <v>11.5</v>
      </c>
      <c r="I5" s="1">
        <v>9.6999999999999993</v>
      </c>
    </row>
    <row r="6" spans="1:9" x14ac:dyDescent="0.3">
      <c r="A6" s="2">
        <v>4</v>
      </c>
      <c r="B6" s="3"/>
      <c r="C6" s="3">
        <v>18.399999999999999</v>
      </c>
      <c r="D6" s="3">
        <v>16.899999999999999</v>
      </c>
      <c r="E6" s="3">
        <v>14.8</v>
      </c>
      <c r="G6" s="1">
        <v>20.6</v>
      </c>
      <c r="H6" s="1">
        <v>17.2</v>
      </c>
      <c r="I6" s="1">
        <v>13.9</v>
      </c>
    </row>
    <row r="7" spans="1:9" x14ac:dyDescent="0.3">
      <c r="A7" s="2">
        <v>5</v>
      </c>
      <c r="B7" s="3"/>
      <c r="C7" s="3"/>
      <c r="D7" s="3">
        <v>21</v>
      </c>
      <c r="E7" s="3">
        <v>18.2</v>
      </c>
      <c r="H7" s="1">
        <v>22.5</v>
      </c>
      <c r="I7" s="1">
        <v>18.8</v>
      </c>
    </row>
    <row r="9" spans="1:9" x14ac:dyDescent="0.3">
      <c r="A9" t="s">
        <v>10</v>
      </c>
      <c r="B9" s="1">
        <v>1618</v>
      </c>
      <c r="C9" s="1">
        <v>2712</v>
      </c>
      <c r="D9" s="1">
        <v>3496</v>
      </c>
      <c r="E9" s="1">
        <v>4210</v>
      </c>
    </row>
    <row r="10" spans="1:9" x14ac:dyDescent="0.3">
      <c r="A10" t="s">
        <v>2</v>
      </c>
      <c r="B10" s="5"/>
      <c r="C10" s="5"/>
      <c r="D10" s="5"/>
      <c r="E10" s="5"/>
    </row>
    <row r="11" spans="1:9" x14ac:dyDescent="0.3">
      <c r="A11">
        <v>1</v>
      </c>
      <c r="B11" s="1">
        <v>4.4000000000000004</v>
      </c>
      <c r="C11" s="1">
        <v>0.1</v>
      </c>
      <c r="D11" s="1">
        <v>2.1</v>
      </c>
      <c r="E11" s="1">
        <v>0.8</v>
      </c>
    </row>
    <row r="12" spans="1:9" x14ac:dyDescent="0.3">
      <c r="A12">
        <v>2</v>
      </c>
      <c r="B12" s="1">
        <v>13.1</v>
      </c>
      <c r="C12" s="1">
        <v>6.3</v>
      </c>
      <c r="D12" s="1">
        <v>7</v>
      </c>
      <c r="E12" s="1">
        <v>5</v>
      </c>
    </row>
    <row r="13" spans="1:9" x14ac:dyDescent="0.3">
      <c r="A13">
        <v>3</v>
      </c>
      <c r="B13" s="1">
        <v>21.8</v>
      </c>
      <c r="C13" s="1">
        <v>12.7</v>
      </c>
      <c r="D13" s="1">
        <v>11.8</v>
      </c>
      <c r="E13" s="1">
        <v>9</v>
      </c>
    </row>
    <row r="14" spans="1:9" x14ac:dyDescent="0.3">
      <c r="A14">
        <v>4</v>
      </c>
      <c r="C14" s="1">
        <v>18.899999999999999</v>
      </c>
      <c r="D14" s="1">
        <v>16.7</v>
      </c>
      <c r="E14" s="1">
        <v>13.1</v>
      </c>
    </row>
    <row r="15" spans="1:9" x14ac:dyDescent="0.3">
      <c r="A15">
        <v>5</v>
      </c>
      <c r="D15" s="1">
        <v>21.6</v>
      </c>
      <c r="E15" s="1">
        <v>17.2</v>
      </c>
    </row>
    <row r="17" spans="1:2" x14ac:dyDescent="0.3">
      <c r="A17">
        <v>5</v>
      </c>
      <c r="B17">
        <v>5</v>
      </c>
    </row>
    <row r="18" spans="1:2" x14ac:dyDescent="0.3">
      <c r="A18">
        <v>1</v>
      </c>
      <c r="B18">
        <v>1</v>
      </c>
    </row>
    <row r="19" spans="1:2" x14ac:dyDescent="0.3">
      <c r="A19">
        <v>2</v>
      </c>
      <c r="B19">
        <v>2</v>
      </c>
    </row>
    <row r="20" spans="1:2" x14ac:dyDescent="0.3">
      <c r="A20">
        <v>3</v>
      </c>
      <c r="B20">
        <v>3</v>
      </c>
    </row>
    <row r="21" spans="1:2" x14ac:dyDescent="0.3">
      <c r="A21">
        <v>4.2</v>
      </c>
      <c r="B21">
        <v>4</v>
      </c>
    </row>
    <row r="22" spans="1:2" x14ac:dyDescent="0.3">
      <c r="A22">
        <v>10.9</v>
      </c>
      <c r="B22">
        <v>5</v>
      </c>
    </row>
    <row r="23" spans="1:2" x14ac:dyDescent="0.3">
      <c r="A23">
        <v>17.600000000000001</v>
      </c>
      <c r="B23">
        <v>4.2</v>
      </c>
    </row>
    <row r="24" spans="1:2" x14ac:dyDescent="0.3">
      <c r="A24">
        <v>1</v>
      </c>
      <c r="B24">
        <v>10.9</v>
      </c>
    </row>
    <row r="25" spans="1:2" x14ac:dyDescent="0.3">
      <c r="A25">
        <v>2</v>
      </c>
      <c r="B25">
        <v>17.600000000000001</v>
      </c>
    </row>
    <row r="26" spans="1:2" x14ac:dyDescent="0.3">
      <c r="A26">
        <v>3</v>
      </c>
      <c r="B26">
        <v>17.600000000000001</v>
      </c>
    </row>
    <row r="27" spans="1:2" x14ac:dyDescent="0.3">
      <c r="A27">
        <v>4</v>
      </c>
      <c r="B27">
        <v>17.600000000000001</v>
      </c>
    </row>
    <row r="28" spans="1:2" x14ac:dyDescent="0.3">
      <c r="A28">
        <v>3.3</v>
      </c>
      <c r="B28">
        <v>1</v>
      </c>
    </row>
    <row r="29" spans="1:2" x14ac:dyDescent="0.3">
      <c r="A29">
        <v>8.4</v>
      </c>
      <c r="B29">
        <v>2</v>
      </c>
    </row>
    <row r="30" spans="1:2" x14ac:dyDescent="0.3">
      <c r="A30">
        <v>13.3</v>
      </c>
      <c r="B30">
        <v>3</v>
      </c>
    </row>
    <row r="31" spans="1:2" x14ac:dyDescent="0.3">
      <c r="A31">
        <v>18.399999999999999</v>
      </c>
      <c r="B31">
        <v>4</v>
      </c>
    </row>
    <row r="32" spans="1:2" x14ac:dyDescent="0.3">
      <c r="A32">
        <v>1</v>
      </c>
      <c r="B32">
        <v>5</v>
      </c>
    </row>
    <row r="33" spans="1:2" x14ac:dyDescent="0.3">
      <c r="A33">
        <v>2</v>
      </c>
      <c r="B33">
        <v>3.3</v>
      </c>
    </row>
    <row r="34" spans="1:2" x14ac:dyDescent="0.3">
      <c r="A34">
        <v>3</v>
      </c>
      <c r="B34">
        <v>8.4</v>
      </c>
    </row>
    <row r="35" spans="1:2" x14ac:dyDescent="0.3">
      <c r="A35">
        <v>4</v>
      </c>
      <c r="B35">
        <v>13.3</v>
      </c>
    </row>
    <row r="36" spans="1:2" x14ac:dyDescent="0.3">
      <c r="A36">
        <v>5</v>
      </c>
      <c r="B36">
        <v>18.399999999999999</v>
      </c>
    </row>
    <row r="37" spans="1:2" x14ac:dyDescent="0.3">
      <c r="A37">
        <v>4.7</v>
      </c>
      <c r="B37">
        <v>18.399999999999999</v>
      </c>
    </row>
    <row r="38" spans="1:2" x14ac:dyDescent="0.3">
      <c r="A38">
        <v>8.8000000000000007</v>
      </c>
      <c r="B38">
        <v>1</v>
      </c>
    </row>
    <row r="39" spans="1:2" x14ac:dyDescent="0.3">
      <c r="A39">
        <v>12.9</v>
      </c>
      <c r="B39">
        <v>2</v>
      </c>
    </row>
    <row r="40" spans="1:2" x14ac:dyDescent="0.3">
      <c r="A40">
        <v>16.899999999999999</v>
      </c>
      <c r="B40">
        <v>3</v>
      </c>
    </row>
    <row r="41" spans="1:2" x14ac:dyDescent="0.3">
      <c r="A41">
        <v>21</v>
      </c>
      <c r="B41">
        <v>4</v>
      </c>
    </row>
    <row r="42" spans="1:2" x14ac:dyDescent="0.3">
      <c r="A42">
        <v>1</v>
      </c>
      <c r="B42">
        <v>5</v>
      </c>
    </row>
    <row r="43" spans="1:2" x14ac:dyDescent="0.3">
      <c r="A43">
        <v>2</v>
      </c>
      <c r="B43">
        <v>4.7</v>
      </c>
    </row>
    <row r="44" spans="1:2" x14ac:dyDescent="0.3">
      <c r="A44">
        <v>3</v>
      </c>
      <c r="B44">
        <v>8.8000000000000007</v>
      </c>
    </row>
    <row r="45" spans="1:2" x14ac:dyDescent="0.3">
      <c r="A45">
        <v>4</v>
      </c>
      <c r="B45">
        <v>12.9</v>
      </c>
    </row>
    <row r="46" spans="1:2" x14ac:dyDescent="0.3">
      <c r="A46">
        <v>5</v>
      </c>
      <c r="B46">
        <v>16.899999999999999</v>
      </c>
    </row>
    <row r="47" spans="1:2" x14ac:dyDescent="0.3">
      <c r="A47">
        <v>4.7</v>
      </c>
      <c r="B47">
        <v>21</v>
      </c>
    </row>
    <row r="48" spans="1:2" x14ac:dyDescent="0.3">
      <c r="A48">
        <v>8.1</v>
      </c>
      <c r="B48">
        <v>1</v>
      </c>
    </row>
    <row r="49" spans="1:2" x14ac:dyDescent="0.3">
      <c r="A49">
        <v>11.5</v>
      </c>
      <c r="B49">
        <v>2</v>
      </c>
    </row>
    <row r="50" spans="1:2" x14ac:dyDescent="0.3">
      <c r="A50">
        <v>14.8</v>
      </c>
      <c r="B50">
        <v>3</v>
      </c>
    </row>
    <row r="51" spans="1:2" x14ac:dyDescent="0.3">
      <c r="A51">
        <v>18.2</v>
      </c>
      <c r="B51">
        <v>4</v>
      </c>
    </row>
    <row r="52" spans="1:2" x14ac:dyDescent="0.3">
      <c r="B52">
        <v>5</v>
      </c>
    </row>
    <row r="53" spans="1:2" x14ac:dyDescent="0.3">
      <c r="B53">
        <v>4.7</v>
      </c>
    </row>
    <row r="54" spans="1:2" x14ac:dyDescent="0.3">
      <c r="B54">
        <v>8.1</v>
      </c>
    </row>
    <row r="55" spans="1:2" x14ac:dyDescent="0.3">
      <c r="B55">
        <v>11.5</v>
      </c>
    </row>
    <row r="56" spans="1:2" x14ac:dyDescent="0.3">
      <c r="B56">
        <v>14.8</v>
      </c>
    </row>
    <row r="57" spans="1:2" x14ac:dyDescent="0.3">
      <c r="B57">
        <v>18.2</v>
      </c>
    </row>
  </sheetData>
  <mergeCells count="3">
    <mergeCell ref="B2:E2"/>
    <mergeCell ref="F2:I2"/>
    <mergeCell ref="B10:E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DBF3-F141-47A2-8359-B77DBBE07DCA}">
  <dimension ref="A1:O121"/>
  <sheetViews>
    <sheetView topLeftCell="F1" workbookViewId="0">
      <selection activeCell="I16" sqref="I16:M16"/>
    </sheetView>
  </sheetViews>
  <sheetFormatPr defaultRowHeight="14.4" x14ac:dyDescent="0.3"/>
  <sheetData>
    <row r="1" spans="1:15" x14ac:dyDescent="0.3">
      <c r="B1">
        <v>0.72</v>
      </c>
      <c r="C1">
        <v>0.71499999999999997</v>
      </c>
      <c r="D1">
        <v>0.71</v>
      </c>
      <c r="E1">
        <v>0.70499999999999996</v>
      </c>
      <c r="F1">
        <v>0.7</v>
      </c>
      <c r="I1">
        <v>0.72</v>
      </c>
      <c r="J1">
        <v>0.71499999999999997</v>
      </c>
      <c r="K1">
        <v>0.71</v>
      </c>
      <c r="L1">
        <v>0.70499999999999996</v>
      </c>
      <c r="M1">
        <v>0.7</v>
      </c>
    </row>
    <row r="2" spans="1:15" x14ac:dyDescent="0.3">
      <c r="A2">
        <v>1</v>
      </c>
      <c r="B2">
        <v>220</v>
      </c>
      <c r="C2">
        <v>228</v>
      </c>
      <c r="D2">
        <v>237</v>
      </c>
      <c r="E2">
        <v>245</v>
      </c>
      <c r="F2">
        <v>254</v>
      </c>
      <c r="H2">
        <v>1</v>
      </c>
      <c r="I2">
        <f>B2-B$2</f>
        <v>0</v>
      </c>
      <c r="J2">
        <f>C2-C$2</f>
        <v>0</v>
      </c>
      <c r="K2">
        <f>D2-D$2</f>
        <v>0</v>
      </c>
      <c r="L2">
        <f>E2-E$2</f>
        <v>0</v>
      </c>
      <c r="M2">
        <f>F2-F$2</f>
        <v>0</v>
      </c>
      <c r="O2">
        <v>1</v>
      </c>
    </row>
    <row r="3" spans="1:15" x14ac:dyDescent="0.3">
      <c r="A3">
        <v>2</v>
      </c>
      <c r="B3">
        <v>485</v>
      </c>
      <c r="C3">
        <v>377</v>
      </c>
      <c r="D3">
        <v>403</v>
      </c>
      <c r="E3">
        <v>435</v>
      </c>
      <c r="F3">
        <v>474</v>
      </c>
      <c r="H3">
        <v>2</v>
      </c>
      <c r="I3">
        <f t="shared" ref="I3:I13" si="0">B3-B$2</f>
        <v>265</v>
      </c>
      <c r="J3">
        <f t="shared" ref="J3:J13" si="1">C3-C$2</f>
        <v>149</v>
      </c>
      <c r="K3">
        <f t="shared" ref="K3:K13" si="2">D3-D$2</f>
        <v>166</v>
      </c>
      <c r="L3">
        <f t="shared" ref="L3:L13" si="3">E3-E$2</f>
        <v>190</v>
      </c>
      <c r="M3">
        <f t="shared" ref="M3:M13" si="4">F3-F$2</f>
        <v>220</v>
      </c>
      <c r="O3">
        <v>2</v>
      </c>
    </row>
    <row r="4" spans="1:15" x14ac:dyDescent="0.3">
      <c r="A4">
        <v>3</v>
      </c>
      <c r="B4">
        <v>774</v>
      </c>
      <c r="C4">
        <v>801</v>
      </c>
      <c r="D4">
        <v>833</v>
      </c>
      <c r="E4">
        <v>718</v>
      </c>
      <c r="F4">
        <v>755</v>
      </c>
      <c r="H4">
        <v>3</v>
      </c>
      <c r="I4">
        <f t="shared" si="0"/>
        <v>554</v>
      </c>
      <c r="J4">
        <f t="shared" si="1"/>
        <v>573</v>
      </c>
      <c r="K4">
        <f t="shared" si="2"/>
        <v>596</v>
      </c>
      <c r="L4">
        <f t="shared" si="3"/>
        <v>473</v>
      </c>
      <c r="M4">
        <f t="shared" si="4"/>
        <v>501</v>
      </c>
      <c r="O4">
        <v>3</v>
      </c>
    </row>
    <row r="5" spans="1:15" x14ac:dyDescent="0.3">
      <c r="A5">
        <v>4</v>
      </c>
      <c r="B5">
        <v>1166</v>
      </c>
      <c r="C5">
        <v>993</v>
      </c>
      <c r="D5">
        <v>1075</v>
      </c>
      <c r="E5">
        <v>878</v>
      </c>
      <c r="F5">
        <v>944</v>
      </c>
      <c r="H5">
        <v>4</v>
      </c>
      <c r="I5">
        <f t="shared" si="0"/>
        <v>946</v>
      </c>
      <c r="J5">
        <f t="shared" si="1"/>
        <v>765</v>
      </c>
      <c r="K5">
        <f t="shared" si="2"/>
        <v>838</v>
      </c>
      <c r="L5">
        <f t="shared" si="3"/>
        <v>633</v>
      </c>
      <c r="M5">
        <f t="shared" si="4"/>
        <v>690</v>
      </c>
      <c r="O5">
        <v>4</v>
      </c>
    </row>
    <row r="6" spans="1:15" x14ac:dyDescent="0.3">
      <c r="A6">
        <v>5</v>
      </c>
      <c r="B6">
        <v>1345</v>
      </c>
      <c r="C6">
        <v>1243</v>
      </c>
      <c r="D6">
        <v>1310</v>
      </c>
      <c r="E6">
        <v>1169</v>
      </c>
      <c r="F6">
        <v>1258</v>
      </c>
      <c r="H6">
        <v>5</v>
      </c>
      <c r="I6">
        <f t="shared" si="0"/>
        <v>1125</v>
      </c>
      <c r="J6">
        <f t="shared" si="1"/>
        <v>1015</v>
      </c>
      <c r="K6">
        <f t="shared" si="2"/>
        <v>1073</v>
      </c>
      <c r="L6">
        <f t="shared" si="3"/>
        <v>924</v>
      </c>
      <c r="M6">
        <f t="shared" si="4"/>
        <v>1004</v>
      </c>
      <c r="O6">
        <v>5</v>
      </c>
    </row>
    <row r="7" spans="1:15" x14ac:dyDescent="0.3">
      <c r="A7">
        <v>6</v>
      </c>
      <c r="B7">
        <v>1507</v>
      </c>
      <c r="C7">
        <v>1393</v>
      </c>
      <c r="D7">
        <v>1476</v>
      </c>
      <c r="E7">
        <v>1361</v>
      </c>
      <c r="F7">
        <v>1433</v>
      </c>
      <c r="H7">
        <v>6</v>
      </c>
      <c r="I7">
        <f t="shared" si="0"/>
        <v>1287</v>
      </c>
      <c r="J7">
        <f t="shared" si="1"/>
        <v>1165</v>
      </c>
      <c r="K7">
        <f t="shared" si="2"/>
        <v>1239</v>
      </c>
      <c r="L7">
        <f t="shared" si="3"/>
        <v>1116</v>
      </c>
      <c r="M7">
        <f t="shared" si="4"/>
        <v>1179</v>
      </c>
      <c r="O7">
        <v>6</v>
      </c>
    </row>
    <row r="8" spans="1:15" x14ac:dyDescent="0.3">
      <c r="A8">
        <v>7</v>
      </c>
      <c r="B8">
        <v>1757</v>
      </c>
      <c r="C8">
        <v>1621</v>
      </c>
      <c r="D8">
        <v>1759</v>
      </c>
      <c r="E8">
        <v>1601</v>
      </c>
      <c r="F8">
        <v>1758</v>
      </c>
      <c r="H8">
        <v>7</v>
      </c>
      <c r="I8">
        <f t="shared" si="0"/>
        <v>1537</v>
      </c>
      <c r="J8">
        <f t="shared" si="1"/>
        <v>1393</v>
      </c>
      <c r="K8">
        <f t="shared" si="2"/>
        <v>1522</v>
      </c>
      <c r="L8">
        <f t="shared" si="3"/>
        <v>1356</v>
      </c>
      <c r="M8">
        <f t="shared" si="4"/>
        <v>1504</v>
      </c>
      <c r="O8">
        <v>7</v>
      </c>
    </row>
    <row r="9" spans="1:15" x14ac:dyDescent="0.3">
      <c r="A9">
        <v>8</v>
      </c>
      <c r="B9">
        <v>2112</v>
      </c>
      <c r="C9">
        <v>2035</v>
      </c>
      <c r="D9">
        <v>1961</v>
      </c>
      <c r="E9">
        <v>1890</v>
      </c>
      <c r="F9">
        <v>1983</v>
      </c>
      <c r="H9">
        <v>8</v>
      </c>
      <c r="I9">
        <f t="shared" si="0"/>
        <v>1892</v>
      </c>
      <c r="J9">
        <f t="shared" si="1"/>
        <v>1807</v>
      </c>
      <c r="K9">
        <f t="shared" si="2"/>
        <v>1724</v>
      </c>
      <c r="L9">
        <f t="shared" si="3"/>
        <v>1645</v>
      </c>
      <c r="M9">
        <f t="shared" si="4"/>
        <v>1729</v>
      </c>
      <c r="O9">
        <v>8</v>
      </c>
    </row>
    <row r="10" spans="1:15" x14ac:dyDescent="0.3">
      <c r="A10">
        <v>9</v>
      </c>
      <c r="B10">
        <v>2334</v>
      </c>
      <c r="C10">
        <v>2257</v>
      </c>
      <c r="D10">
        <v>2167</v>
      </c>
      <c r="E10">
        <v>2069</v>
      </c>
      <c r="F10">
        <v>2236</v>
      </c>
      <c r="H10">
        <v>9</v>
      </c>
      <c r="I10">
        <f t="shared" si="0"/>
        <v>2114</v>
      </c>
      <c r="J10">
        <f t="shared" si="1"/>
        <v>2029</v>
      </c>
      <c r="K10">
        <f t="shared" si="2"/>
        <v>1930</v>
      </c>
      <c r="L10">
        <f t="shared" si="3"/>
        <v>1824</v>
      </c>
      <c r="M10">
        <f t="shared" si="4"/>
        <v>1982</v>
      </c>
      <c r="O10">
        <v>9</v>
      </c>
    </row>
    <row r="11" spans="1:15" x14ac:dyDescent="0.3">
      <c r="A11">
        <v>10</v>
      </c>
      <c r="B11">
        <v>2502</v>
      </c>
      <c r="C11">
        <v>2458</v>
      </c>
      <c r="D11">
        <v>2406</v>
      </c>
      <c r="E11">
        <v>2337</v>
      </c>
      <c r="F11">
        <v>2477</v>
      </c>
      <c r="H11">
        <v>10</v>
      </c>
      <c r="I11">
        <f t="shared" si="0"/>
        <v>2282</v>
      </c>
      <c r="J11">
        <f t="shared" si="1"/>
        <v>2230</v>
      </c>
      <c r="K11">
        <f t="shared" si="2"/>
        <v>2169</v>
      </c>
      <c r="L11">
        <f t="shared" si="3"/>
        <v>2092</v>
      </c>
      <c r="M11">
        <f t="shared" si="4"/>
        <v>2223</v>
      </c>
      <c r="O11">
        <v>10</v>
      </c>
    </row>
    <row r="12" spans="1:15" x14ac:dyDescent="0.3">
      <c r="A12">
        <v>11</v>
      </c>
      <c r="B12">
        <v>2689</v>
      </c>
      <c r="C12">
        <v>2638</v>
      </c>
      <c r="D12">
        <v>2583</v>
      </c>
      <c r="E12">
        <v>2531</v>
      </c>
      <c r="F12">
        <v>2709</v>
      </c>
      <c r="H12">
        <v>11</v>
      </c>
      <c r="I12">
        <f t="shared" si="0"/>
        <v>2469</v>
      </c>
      <c r="J12">
        <f t="shared" si="1"/>
        <v>2410</v>
      </c>
      <c r="K12">
        <f t="shared" si="2"/>
        <v>2346</v>
      </c>
      <c r="L12">
        <f t="shared" si="3"/>
        <v>2286</v>
      </c>
      <c r="M12">
        <f t="shared" si="4"/>
        <v>2455</v>
      </c>
      <c r="O12">
        <v>11</v>
      </c>
    </row>
    <row r="13" spans="1:15" x14ac:dyDescent="0.3">
      <c r="A13">
        <v>12</v>
      </c>
      <c r="B13">
        <v>2899</v>
      </c>
      <c r="C13">
        <v>2864</v>
      </c>
      <c r="D13">
        <v>2823</v>
      </c>
      <c r="E13">
        <v>2775</v>
      </c>
      <c r="F13">
        <v>2966</v>
      </c>
      <c r="H13">
        <v>12</v>
      </c>
      <c r="I13">
        <f t="shared" si="0"/>
        <v>2679</v>
      </c>
      <c r="J13">
        <f t="shared" si="1"/>
        <v>2636</v>
      </c>
      <c r="K13">
        <f t="shared" si="2"/>
        <v>2586</v>
      </c>
      <c r="L13">
        <f t="shared" si="3"/>
        <v>2530</v>
      </c>
      <c r="M13">
        <f t="shared" si="4"/>
        <v>2712</v>
      </c>
      <c r="O13">
        <v>12</v>
      </c>
    </row>
    <row r="14" spans="1:15" x14ac:dyDescent="0.3">
      <c r="D14">
        <v>3023</v>
      </c>
      <c r="O14">
        <v>0</v>
      </c>
    </row>
    <row r="15" spans="1:15" x14ac:dyDescent="0.3">
      <c r="H15" t="s">
        <v>13</v>
      </c>
      <c r="I15">
        <v>240.881</v>
      </c>
      <c r="J15">
        <v>244.29400000000001</v>
      </c>
      <c r="K15">
        <v>233.47200000000001</v>
      </c>
      <c r="L15">
        <v>235.11500000000001</v>
      </c>
      <c r="M15">
        <v>248.11500000000001</v>
      </c>
      <c r="O15">
        <v>265</v>
      </c>
    </row>
    <row r="16" spans="1:15" x14ac:dyDescent="0.3">
      <c r="H16" t="s">
        <v>12</v>
      </c>
      <c r="I16">
        <f>I15*2*I1</f>
        <v>346.86863999999997</v>
      </c>
      <c r="J16">
        <f t="shared" ref="J16:M16" si="5">J15*2*J1</f>
        <v>349.34041999999999</v>
      </c>
      <c r="K16">
        <f t="shared" si="5"/>
        <v>331.53023999999999</v>
      </c>
      <c r="L16">
        <f t="shared" si="5"/>
        <v>331.51215000000002</v>
      </c>
      <c r="M16">
        <f t="shared" si="5"/>
        <v>347.36099999999999</v>
      </c>
      <c r="O16">
        <v>554</v>
      </c>
    </row>
    <row r="17" spans="1:15" x14ac:dyDescent="0.3">
      <c r="O17">
        <v>946</v>
      </c>
    </row>
    <row r="18" spans="1:15" x14ac:dyDescent="0.3">
      <c r="B18">
        <v>0.72</v>
      </c>
      <c r="D18">
        <v>0.71499999999999997</v>
      </c>
      <c r="F18">
        <v>0.71</v>
      </c>
      <c r="H18">
        <v>0.70499999999999996</v>
      </c>
      <c r="J18">
        <v>0.7</v>
      </c>
      <c r="O18">
        <v>1125</v>
      </c>
    </row>
    <row r="19" spans="1:15" x14ac:dyDescent="0.3">
      <c r="A19">
        <v>1</v>
      </c>
      <c r="B19">
        <v>220</v>
      </c>
      <c r="C19">
        <v>0</v>
      </c>
      <c r="D19">
        <v>228</v>
      </c>
      <c r="E19">
        <v>0</v>
      </c>
      <c r="F19">
        <v>237</v>
      </c>
      <c r="G19">
        <v>0</v>
      </c>
      <c r="H19">
        <v>245</v>
      </c>
      <c r="I19">
        <v>0</v>
      </c>
      <c r="J19">
        <v>254</v>
      </c>
      <c r="K19">
        <v>0</v>
      </c>
      <c r="O19">
        <v>1287</v>
      </c>
    </row>
    <row r="20" spans="1:15" x14ac:dyDescent="0.3">
      <c r="A20">
        <v>2</v>
      </c>
      <c r="B20">
        <v>585</v>
      </c>
      <c r="C20">
        <v>365</v>
      </c>
      <c r="D20">
        <v>377</v>
      </c>
      <c r="E20">
        <v>149</v>
      </c>
      <c r="F20">
        <v>403</v>
      </c>
      <c r="G20">
        <v>166</v>
      </c>
      <c r="H20">
        <v>435</v>
      </c>
      <c r="I20">
        <v>190</v>
      </c>
      <c r="J20">
        <v>474</v>
      </c>
      <c r="K20">
        <v>220</v>
      </c>
      <c r="O20">
        <v>1537</v>
      </c>
    </row>
    <row r="21" spans="1:15" x14ac:dyDescent="0.3">
      <c r="A21">
        <v>3</v>
      </c>
      <c r="B21">
        <v>774</v>
      </c>
      <c r="C21">
        <v>554</v>
      </c>
      <c r="D21">
        <v>801</v>
      </c>
      <c r="E21">
        <v>573</v>
      </c>
      <c r="F21">
        <v>833</v>
      </c>
      <c r="G21">
        <v>596</v>
      </c>
      <c r="H21">
        <v>718</v>
      </c>
      <c r="I21">
        <v>473</v>
      </c>
      <c r="J21">
        <v>755</v>
      </c>
      <c r="K21">
        <v>501</v>
      </c>
      <c r="O21">
        <v>1892</v>
      </c>
    </row>
    <row r="22" spans="1:15" x14ac:dyDescent="0.3">
      <c r="A22">
        <v>4</v>
      </c>
      <c r="B22">
        <v>1166</v>
      </c>
      <c r="C22">
        <v>946</v>
      </c>
      <c r="D22">
        <v>993</v>
      </c>
      <c r="E22">
        <v>765</v>
      </c>
      <c r="F22">
        <v>1075</v>
      </c>
      <c r="G22">
        <v>838</v>
      </c>
      <c r="H22">
        <v>878</v>
      </c>
      <c r="I22">
        <v>633</v>
      </c>
      <c r="J22">
        <v>944</v>
      </c>
      <c r="K22">
        <v>690</v>
      </c>
      <c r="O22">
        <v>2114</v>
      </c>
    </row>
    <row r="23" spans="1:15" x14ac:dyDescent="0.3">
      <c r="A23">
        <v>5</v>
      </c>
      <c r="B23">
        <v>1345</v>
      </c>
      <c r="C23">
        <v>1125</v>
      </c>
      <c r="D23">
        <v>1243</v>
      </c>
      <c r="E23">
        <v>1015</v>
      </c>
      <c r="F23">
        <v>1310</v>
      </c>
      <c r="G23">
        <v>1073</v>
      </c>
      <c r="H23">
        <v>1169</v>
      </c>
      <c r="I23">
        <v>924</v>
      </c>
      <c r="J23">
        <v>1258</v>
      </c>
      <c r="K23">
        <v>1004</v>
      </c>
      <c r="O23">
        <v>2282</v>
      </c>
    </row>
    <row r="24" spans="1:15" x14ac:dyDescent="0.3">
      <c r="A24">
        <v>6</v>
      </c>
      <c r="B24">
        <v>1507</v>
      </c>
      <c r="C24">
        <v>1287</v>
      </c>
      <c r="D24">
        <v>1393</v>
      </c>
      <c r="E24">
        <v>1165</v>
      </c>
      <c r="F24">
        <v>1476</v>
      </c>
      <c r="G24">
        <v>1239</v>
      </c>
      <c r="H24">
        <v>1361</v>
      </c>
      <c r="I24">
        <v>1116</v>
      </c>
      <c r="J24">
        <v>1433</v>
      </c>
      <c r="K24">
        <v>1179</v>
      </c>
      <c r="O24">
        <v>2469</v>
      </c>
    </row>
    <row r="25" spans="1:15" x14ac:dyDescent="0.3">
      <c r="A25">
        <v>7</v>
      </c>
      <c r="B25">
        <v>1757</v>
      </c>
      <c r="C25">
        <v>1537</v>
      </c>
      <c r="D25">
        <v>1621</v>
      </c>
      <c r="E25">
        <v>1393</v>
      </c>
      <c r="F25">
        <v>1759</v>
      </c>
      <c r="G25">
        <v>1522</v>
      </c>
      <c r="H25">
        <v>1601</v>
      </c>
      <c r="I25">
        <v>1356</v>
      </c>
      <c r="J25">
        <v>1758</v>
      </c>
      <c r="K25">
        <v>1504</v>
      </c>
      <c r="O25">
        <v>2679</v>
      </c>
    </row>
    <row r="26" spans="1:15" x14ac:dyDescent="0.3">
      <c r="A26">
        <v>8</v>
      </c>
      <c r="B26">
        <v>2112</v>
      </c>
      <c r="C26">
        <v>1892</v>
      </c>
      <c r="D26">
        <v>2035</v>
      </c>
      <c r="E26">
        <v>1807</v>
      </c>
      <c r="F26">
        <v>1961</v>
      </c>
      <c r="G26">
        <v>1724</v>
      </c>
      <c r="H26">
        <v>1890</v>
      </c>
      <c r="I26">
        <v>1645</v>
      </c>
      <c r="J26">
        <v>1983</v>
      </c>
      <c r="K26">
        <v>1729</v>
      </c>
      <c r="O26">
        <v>1</v>
      </c>
    </row>
    <row r="27" spans="1:15" x14ac:dyDescent="0.3">
      <c r="A27">
        <v>9</v>
      </c>
      <c r="B27">
        <v>2334</v>
      </c>
      <c r="C27">
        <v>2114</v>
      </c>
      <c r="D27">
        <v>2257</v>
      </c>
      <c r="E27">
        <v>2029</v>
      </c>
      <c r="F27">
        <v>2167</v>
      </c>
      <c r="G27">
        <v>1930</v>
      </c>
      <c r="H27">
        <v>2069</v>
      </c>
      <c r="I27">
        <v>1824</v>
      </c>
      <c r="J27">
        <v>2236</v>
      </c>
      <c r="K27">
        <v>1982</v>
      </c>
      <c r="O27">
        <v>2</v>
      </c>
    </row>
    <row r="28" spans="1:15" x14ac:dyDescent="0.3">
      <c r="A28">
        <v>10</v>
      </c>
      <c r="B28">
        <v>2502</v>
      </c>
      <c r="C28">
        <v>2282</v>
      </c>
      <c r="D28">
        <v>2458</v>
      </c>
      <c r="E28">
        <v>2230</v>
      </c>
      <c r="F28">
        <v>2406</v>
      </c>
      <c r="G28">
        <v>2169</v>
      </c>
      <c r="H28">
        <v>2337</v>
      </c>
      <c r="I28">
        <v>2092</v>
      </c>
      <c r="J28">
        <v>2477</v>
      </c>
      <c r="K28">
        <v>2223</v>
      </c>
      <c r="O28">
        <v>3</v>
      </c>
    </row>
    <row r="29" spans="1:15" x14ac:dyDescent="0.3">
      <c r="A29">
        <v>11</v>
      </c>
      <c r="B29">
        <v>2689</v>
      </c>
      <c r="C29">
        <v>2469</v>
      </c>
      <c r="D29">
        <v>2638</v>
      </c>
      <c r="E29">
        <v>2410</v>
      </c>
      <c r="F29">
        <v>2583</v>
      </c>
      <c r="G29">
        <v>2346</v>
      </c>
      <c r="H29">
        <v>2531</v>
      </c>
      <c r="I29">
        <v>2286</v>
      </c>
      <c r="J29">
        <v>2709</v>
      </c>
      <c r="K29">
        <v>2455</v>
      </c>
      <c r="O29">
        <v>4</v>
      </c>
    </row>
    <row r="30" spans="1:15" x14ac:dyDescent="0.3">
      <c r="A30">
        <v>12</v>
      </c>
      <c r="B30">
        <v>2899</v>
      </c>
      <c r="C30">
        <v>2679</v>
      </c>
      <c r="D30">
        <v>2864</v>
      </c>
      <c r="E30">
        <v>2636</v>
      </c>
      <c r="F30">
        <v>2823</v>
      </c>
      <c r="G30">
        <v>2586</v>
      </c>
      <c r="H30">
        <v>2775</v>
      </c>
      <c r="I30">
        <v>2530</v>
      </c>
      <c r="J30">
        <v>2966</v>
      </c>
      <c r="K30">
        <v>2712</v>
      </c>
      <c r="O30">
        <v>5</v>
      </c>
    </row>
    <row r="31" spans="1:15" x14ac:dyDescent="0.3">
      <c r="O31">
        <v>6</v>
      </c>
    </row>
    <row r="32" spans="1:15" x14ac:dyDescent="0.3">
      <c r="O32">
        <v>7</v>
      </c>
    </row>
    <row r="33" spans="15:15" x14ac:dyDescent="0.3">
      <c r="O33">
        <v>8</v>
      </c>
    </row>
    <row r="34" spans="15:15" x14ac:dyDescent="0.3">
      <c r="O34">
        <v>9</v>
      </c>
    </row>
    <row r="35" spans="15:15" x14ac:dyDescent="0.3">
      <c r="O35">
        <v>10</v>
      </c>
    </row>
    <row r="36" spans="15:15" x14ac:dyDescent="0.3">
      <c r="O36">
        <v>11</v>
      </c>
    </row>
    <row r="37" spans="15:15" x14ac:dyDescent="0.3">
      <c r="O37">
        <v>12</v>
      </c>
    </row>
    <row r="38" spans="15:15" x14ac:dyDescent="0.3">
      <c r="O38">
        <v>0</v>
      </c>
    </row>
    <row r="39" spans="15:15" x14ac:dyDescent="0.3">
      <c r="O39">
        <v>149</v>
      </c>
    </row>
    <row r="40" spans="15:15" x14ac:dyDescent="0.3">
      <c r="O40">
        <v>573</v>
      </c>
    </row>
    <row r="41" spans="15:15" x14ac:dyDescent="0.3">
      <c r="O41">
        <v>765</v>
      </c>
    </row>
    <row r="42" spans="15:15" x14ac:dyDescent="0.3">
      <c r="O42">
        <v>1015</v>
      </c>
    </row>
    <row r="43" spans="15:15" x14ac:dyDescent="0.3">
      <c r="O43">
        <v>1165</v>
      </c>
    </row>
    <row r="44" spans="15:15" x14ac:dyDescent="0.3">
      <c r="O44">
        <v>1393</v>
      </c>
    </row>
    <row r="45" spans="15:15" x14ac:dyDescent="0.3">
      <c r="O45">
        <v>1807</v>
      </c>
    </row>
    <row r="46" spans="15:15" x14ac:dyDescent="0.3">
      <c r="O46">
        <v>2029</v>
      </c>
    </row>
    <row r="47" spans="15:15" x14ac:dyDescent="0.3">
      <c r="O47">
        <v>2230</v>
      </c>
    </row>
    <row r="48" spans="15:15" x14ac:dyDescent="0.3">
      <c r="O48">
        <v>2410</v>
      </c>
    </row>
    <row r="49" spans="15:15" x14ac:dyDescent="0.3">
      <c r="O49">
        <v>2636</v>
      </c>
    </row>
    <row r="50" spans="15:15" x14ac:dyDescent="0.3">
      <c r="O50">
        <v>1</v>
      </c>
    </row>
    <row r="51" spans="15:15" x14ac:dyDescent="0.3">
      <c r="O51">
        <v>2</v>
      </c>
    </row>
    <row r="52" spans="15:15" x14ac:dyDescent="0.3">
      <c r="O52">
        <v>3</v>
      </c>
    </row>
    <row r="53" spans="15:15" x14ac:dyDescent="0.3">
      <c r="O53">
        <v>4</v>
      </c>
    </row>
    <row r="54" spans="15:15" x14ac:dyDescent="0.3">
      <c r="O54">
        <v>5</v>
      </c>
    </row>
    <row r="55" spans="15:15" x14ac:dyDescent="0.3">
      <c r="O55">
        <v>6</v>
      </c>
    </row>
    <row r="56" spans="15:15" x14ac:dyDescent="0.3">
      <c r="O56">
        <v>7</v>
      </c>
    </row>
    <row r="57" spans="15:15" x14ac:dyDescent="0.3">
      <c r="O57">
        <v>8</v>
      </c>
    </row>
    <row r="58" spans="15:15" x14ac:dyDescent="0.3">
      <c r="O58">
        <v>9</v>
      </c>
    </row>
    <row r="59" spans="15:15" x14ac:dyDescent="0.3">
      <c r="O59">
        <v>10</v>
      </c>
    </row>
    <row r="60" spans="15:15" x14ac:dyDescent="0.3">
      <c r="O60">
        <v>11</v>
      </c>
    </row>
    <row r="61" spans="15:15" x14ac:dyDescent="0.3">
      <c r="O61">
        <v>12</v>
      </c>
    </row>
    <row r="62" spans="15:15" x14ac:dyDescent="0.3">
      <c r="O62">
        <v>0</v>
      </c>
    </row>
    <row r="63" spans="15:15" x14ac:dyDescent="0.3">
      <c r="O63">
        <v>166</v>
      </c>
    </row>
    <row r="64" spans="15:15" x14ac:dyDescent="0.3">
      <c r="O64">
        <v>596</v>
      </c>
    </row>
    <row r="65" spans="15:15" x14ac:dyDescent="0.3">
      <c r="O65">
        <v>838</v>
      </c>
    </row>
    <row r="66" spans="15:15" x14ac:dyDescent="0.3">
      <c r="O66">
        <v>1073</v>
      </c>
    </row>
    <row r="67" spans="15:15" x14ac:dyDescent="0.3">
      <c r="O67">
        <v>1239</v>
      </c>
    </row>
    <row r="68" spans="15:15" x14ac:dyDescent="0.3">
      <c r="O68">
        <v>1522</v>
      </c>
    </row>
    <row r="69" spans="15:15" x14ac:dyDescent="0.3">
      <c r="O69">
        <v>1724</v>
      </c>
    </row>
    <row r="70" spans="15:15" x14ac:dyDescent="0.3">
      <c r="O70">
        <v>1930</v>
      </c>
    </row>
    <row r="71" spans="15:15" x14ac:dyDescent="0.3">
      <c r="O71">
        <v>2169</v>
      </c>
    </row>
    <row r="72" spans="15:15" x14ac:dyDescent="0.3">
      <c r="O72">
        <v>2346</v>
      </c>
    </row>
    <row r="73" spans="15:15" x14ac:dyDescent="0.3">
      <c r="O73">
        <v>2586</v>
      </c>
    </row>
    <row r="74" spans="15:15" x14ac:dyDescent="0.3">
      <c r="O74">
        <v>1</v>
      </c>
    </row>
    <row r="75" spans="15:15" x14ac:dyDescent="0.3">
      <c r="O75">
        <v>2</v>
      </c>
    </row>
    <row r="76" spans="15:15" x14ac:dyDescent="0.3">
      <c r="O76">
        <v>3</v>
      </c>
    </row>
    <row r="77" spans="15:15" x14ac:dyDescent="0.3">
      <c r="O77">
        <v>4</v>
      </c>
    </row>
    <row r="78" spans="15:15" x14ac:dyDescent="0.3">
      <c r="O78">
        <v>5</v>
      </c>
    </row>
    <row r="79" spans="15:15" x14ac:dyDescent="0.3">
      <c r="O79">
        <v>6</v>
      </c>
    </row>
    <row r="80" spans="15:15" x14ac:dyDescent="0.3">
      <c r="O80">
        <v>7</v>
      </c>
    </row>
    <row r="81" spans="15:15" x14ac:dyDescent="0.3">
      <c r="O81">
        <v>8</v>
      </c>
    </row>
    <row r="82" spans="15:15" x14ac:dyDescent="0.3">
      <c r="O82">
        <v>9</v>
      </c>
    </row>
    <row r="83" spans="15:15" x14ac:dyDescent="0.3">
      <c r="O83">
        <v>10</v>
      </c>
    </row>
    <row r="84" spans="15:15" x14ac:dyDescent="0.3">
      <c r="O84">
        <v>11</v>
      </c>
    </row>
    <row r="85" spans="15:15" x14ac:dyDescent="0.3">
      <c r="O85">
        <v>12</v>
      </c>
    </row>
    <row r="86" spans="15:15" x14ac:dyDescent="0.3">
      <c r="O86">
        <v>0</v>
      </c>
    </row>
    <row r="87" spans="15:15" x14ac:dyDescent="0.3">
      <c r="O87">
        <v>190</v>
      </c>
    </row>
    <row r="88" spans="15:15" x14ac:dyDescent="0.3">
      <c r="O88">
        <v>473</v>
      </c>
    </row>
    <row r="89" spans="15:15" x14ac:dyDescent="0.3">
      <c r="O89">
        <v>633</v>
      </c>
    </row>
    <row r="90" spans="15:15" x14ac:dyDescent="0.3">
      <c r="O90">
        <v>924</v>
      </c>
    </row>
    <row r="91" spans="15:15" x14ac:dyDescent="0.3">
      <c r="O91">
        <v>1116</v>
      </c>
    </row>
    <row r="92" spans="15:15" x14ac:dyDescent="0.3">
      <c r="O92">
        <v>1356</v>
      </c>
    </row>
    <row r="93" spans="15:15" x14ac:dyDescent="0.3">
      <c r="O93">
        <v>1645</v>
      </c>
    </row>
    <row r="94" spans="15:15" x14ac:dyDescent="0.3">
      <c r="O94">
        <v>1824</v>
      </c>
    </row>
    <row r="95" spans="15:15" x14ac:dyDescent="0.3">
      <c r="O95">
        <v>2092</v>
      </c>
    </row>
    <row r="96" spans="15:15" x14ac:dyDescent="0.3">
      <c r="O96">
        <v>2286</v>
      </c>
    </row>
    <row r="97" spans="15:15" x14ac:dyDescent="0.3">
      <c r="O97">
        <v>2530</v>
      </c>
    </row>
    <row r="98" spans="15:15" x14ac:dyDescent="0.3">
      <c r="O98">
        <v>1</v>
      </c>
    </row>
    <row r="99" spans="15:15" x14ac:dyDescent="0.3">
      <c r="O99">
        <v>2</v>
      </c>
    </row>
    <row r="100" spans="15:15" x14ac:dyDescent="0.3">
      <c r="O100">
        <v>3</v>
      </c>
    </row>
    <row r="101" spans="15:15" x14ac:dyDescent="0.3">
      <c r="O101">
        <v>4</v>
      </c>
    </row>
    <row r="102" spans="15:15" x14ac:dyDescent="0.3">
      <c r="O102">
        <v>5</v>
      </c>
    </row>
    <row r="103" spans="15:15" x14ac:dyDescent="0.3">
      <c r="O103">
        <v>6</v>
      </c>
    </row>
    <row r="104" spans="15:15" x14ac:dyDescent="0.3">
      <c r="O104">
        <v>7</v>
      </c>
    </row>
    <row r="105" spans="15:15" x14ac:dyDescent="0.3">
      <c r="O105">
        <v>8</v>
      </c>
    </row>
    <row r="106" spans="15:15" x14ac:dyDescent="0.3">
      <c r="O106">
        <v>9</v>
      </c>
    </row>
    <row r="107" spans="15:15" x14ac:dyDescent="0.3">
      <c r="O107">
        <v>10</v>
      </c>
    </row>
    <row r="108" spans="15:15" x14ac:dyDescent="0.3">
      <c r="O108">
        <v>11</v>
      </c>
    </row>
    <row r="109" spans="15:15" x14ac:dyDescent="0.3">
      <c r="O109">
        <v>12</v>
      </c>
    </row>
    <row r="110" spans="15:15" x14ac:dyDescent="0.3">
      <c r="O110">
        <v>0</v>
      </c>
    </row>
    <row r="111" spans="15:15" x14ac:dyDescent="0.3">
      <c r="O111">
        <v>220</v>
      </c>
    </row>
    <row r="112" spans="15:15" x14ac:dyDescent="0.3">
      <c r="O112">
        <v>501</v>
      </c>
    </row>
    <row r="113" spans="15:15" x14ac:dyDescent="0.3">
      <c r="O113">
        <v>690</v>
      </c>
    </row>
    <row r="114" spans="15:15" x14ac:dyDescent="0.3">
      <c r="O114">
        <v>1004</v>
      </c>
    </row>
    <row r="115" spans="15:15" x14ac:dyDescent="0.3">
      <c r="O115">
        <v>1179</v>
      </c>
    </row>
    <row r="116" spans="15:15" x14ac:dyDescent="0.3">
      <c r="O116">
        <v>1504</v>
      </c>
    </row>
    <row r="117" spans="15:15" x14ac:dyDescent="0.3">
      <c r="O117">
        <v>1729</v>
      </c>
    </row>
    <row r="118" spans="15:15" x14ac:dyDescent="0.3">
      <c r="O118">
        <v>1982</v>
      </c>
    </row>
    <row r="119" spans="15:15" x14ac:dyDescent="0.3">
      <c r="O119">
        <v>2223</v>
      </c>
    </row>
    <row r="120" spans="15:15" x14ac:dyDescent="0.3">
      <c r="O120">
        <v>2455</v>
      </c>
    </row>
    <row r="121" spans="15:15" x14ac:dyDescent="0.3">
      <c r="O121">
        <v>2712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0773-6406-49F4-A4C5-D734A66C5B70}">
  <dimension ref="A1:K74"/>
  <sheetViews>
    <sheetView topLeftCell="A16" workbookViewId="0">
      <selection activeCell="G36" sqref="G36:I36"/>
    </sheetView>
  </sheetViews>
  <sheetFormatPr defaultRowHeight="14.4" x14ac:dyDescent="0.3"/>
  <sheetData>
    <row r="1" spans="1:11" x14ac:dyDescent="0.3">
      <c r="B1">
        <v>0.72</v>
      </c>
      <c r="C1">
        <v>0.71</v>
      </c>
      <c r="D1">
        <v>0.7</v>
      </c>
      <c r="G1">
        <v>0.72</v>
      </c>
      <c r="H1">
        <v>0.71</v>
      </c>
      <c r="I1">
        <v>0.7</v>
      </c>
    </row>
    <row r="2" spans="1:11" x14ac:dyDescent="0.3">
      <c r="A2">
        <v>1</v>
      </c>
      <c r="B2">
        <v>171</v>
      </c>
      <c r="C2">
        <v>185</v>
      </c>
      <c r="D2">
        <v>199</v>
      </c>
      <c r="F2">
        <v>1</v>
      </c>
      <c r="G2">
        <f>B2-B$2</f>
        <v>0</v>
      </c>
      <c r="H2">
        <f t="shared" ref="H2:I13" si="0">C2-C$2</f>
        <v>0</v>
      </c>
      <c r="I2">
        <f t="shared" si="0"/>
        <v>0</v>
      </c>
      <c r="K2">
        <v>12</v>
      </c>
    </row>
    <row r="3" spans="1:11" x14ac:dyDescent="0.3">
      <c r="A3">
        <v>2</v>
      </c>
      <c r="B3">
        <v>276</v>
      </c>
      <c r="C3">
        <v>314</v>
      </c>
      <c r="D3">
        <v>370</v>
      </c>
      <c r="F3">
        <v>2</v>
      </c>
      <c r="G3">
        <f t="shared" ref="G3:G13" si="1">B3-B$2</f>
        <v>105</v>
      </c>
      <c r="H3">
        <f t="shared" si="0"/>
        <v>129</v>
      </c>
      <c r="I3">
        <f t="shared" si="0"/>
        <v>171</v>
      </c>
      <c r="K3">
        <v>1</v>
      </c>
    </row>
    <row r="4" spans="1:11" x14ac:dyDescent="0.3">
      <c r="A4">
        <v>3</v>
      </c>
      <c r="B4">
        <v>455</v>
      </c>
      <c r="C4">
        <v>524</v>
      </c>
      <c r="D4">
        <v>590</v>
      </c>
      <c r="F4">
        <v>3</v>
      </c>
      <c r="G4">
        <f t="shared" si="1"/>
        <v>284</v>
      </c>
      <c r="H4">
        <f t="shared" si="0"/>
        <v>339</v>
      </c>
      <c r="I4">
        <f t="shared" si="0"/>
        <v>391</v>
      </c>
      <c r="K4">
        <v>2</v>
      </c>
    </row>
    <row r="5" spans="1:11" x14ac:dyDescent="0.3">
      <c r="A5">
        <v>4</v>
      </c>
      <c r="B5">
        <v>602</v>
      </c>
      <c r="C5">
        <v>647</v>
      </c>
      <c r="D5">
        <v>735</v>
      </c>
      <c r="F5">
        <v>4</v>
      </c>
      <c r="G5">
        <f t="shared" si="1"/>
        <v>431</v>
      </c>
      <c r="H5">
        <f t="shared" si="0"/>
        <v>462</v>
      </c>
      <c r="I5">
        <f t="shared" si="0"/>
        <v>536</v>
      </c>
      <c r="K5">
        <v>3</v>
      </c>
    </row>
    <row r="6" spans="1:11" x14ac:dyDescent="0.3">
      <c r="A6">
        <v>5</v>
      </c>
      <c r="B6">
        <v>719</v>
      </c>
      <c r="C6">
        <v>834</v>
      </c>
      <c r="D6">
        <v>984</v>
      </c>
      <c r="F6">
        <v>5</v>
      </c>
      <c r="G6">
        <f t="shared" si="1"/>
        <v>548</v>
      </c>
      <c r="H6">
        <f t="shared" si="0"/>
        <v>649</v>
      </c>
      <c r="I6">
        <f t="shared" si="0"/>
        <v>785</v>
      </c>
      <c r="K6">
        <v>4</v>
      </c>
    </row>
    <row r="7" spans="1:11" x14ac:dyDescent="0.3">
      <c r="A7">
        <v>6</v>
      </c>
      <c r="B7">
        <v>906</v>
      </c>
      <c r="C7">
        <v>1021</v>
      </c>
      <c r="D7">
        <v>1118</v>
      </c>
      <c r="F7">
        <v>6</v>
      </c>
      <c r="G7">
        <f t="shared" si="1"/>
        <v>735</v>
      </c>
      <c r="H7">
        <f t="shared" si="0"/>
        <v>836</v>
      </c>
      <c r="I7">
        <f t="shared" si="0"/>
        <v>919</v>
      </c>
      <c r="K7">
        <v>5</v>
      </c>
    </row>
    <row r="8" spans="1:11" x14ac:dyDescent="0.3">
      <c r="A8">
        <v>7</v>
      </c>
      <c r="B8">
        <v>1042</v>
      </c>
      <c r="C8">
        <v>1154</v>
      </c>
      <c r="D8">
        <v>1371</v>
      </c>
      <c r="F8">
        <v>7</v>
      </c>
      <c r="G8">
        <f t="shared" si="1"/>
        <v>871</v>
      </c>
      <c r="H8">
        <f t="shared" si="0"/>
        <v>969</v>
      </c>
      <c r="I8">
        <f t="shared" si="0"/>
        <v>1172</v>
      </c>
      <c r="K8">
        <v>6</v>
      </c>
    </row>
    <row r="9" spans="1:11" x14ac:dyDescent="0.3">
      <c r="A9">
        <v>8</v>
      </c>
      <c r="B9">
        <v>1173</v>
      </c>
      <c r="C9">
        <v>1368</v>
      </c>
      <c r="D9">
        <v>1543</v>
      </c>
      <c r="F9">
        <v>8</v>
      </c>
      <c r="G9">
        <f t="shared" si="1"/>
        <v>1002</v>
      </c>
      <c r="H9">
        <f t="shared" si="0"/>
        <v>1183</v>
      </c>
      <c r="I9">
        <f t="shared" si="0"/>
        <v>1344</v>
      </c>
      <c r="K9">
        <v>7</v>
      </c>
    </row>
    <row r="10" spans="1:11" x14ac:dyDescent="0.3">
      <c r="A10">
        <v>9</v>
      </c>
      <c r="B10">
        <v>1364</v>
      </c>
      <c r="C10">
        <v>1527</v>
      </c>
      <c r="D10">
        <v>1745</v>
      </c>
      <c r="F10">
        <v>9</v>
      </c>
      <c r="G10">
        <f t="shared" si="1"/>
        <v>1193</v>
      </c>
      <c r="H10">
        <f t="shared" si="0"/>
        <v>1342</v>
      </c>
      <c r="I10">
        <f t="shared" si="0"/>
        <v>1546</v>
      </c>
      <c r="K10">
        <v>8</v>
      </c>
    </row>
    <row r="11" spans="1:11" x14ac:dyDescent="0.3">
      <c r="A11">
        <v>10</v>
      </c>
      <c r="B11">
        <v>1511</v>
      </c>
      <c r="C11">
        <v>1686</v>
      </c>
      <c r="D11">
        <v>1935</v>
      </c>
      <c r="F11">
        <v>10</v>
      </c>
      <c r="G11">
        <f t="shared" si="1"/>
        <v>1340</v>
      </c>
      <c r="H11">
        <f t="shared" si="0"/>
        <v>1501</v>
      </c>
      <c r="I11">
        <f t="shared" si="0"/>
        <v>1736</v>
      </c>
      <c r="K11">
        <v>9</v>
      </c>
    </row>
    <row r="12" spans="1:11" x14ac:dyDescent="0.3">
      <c r="A12">
        <v>11</v>
      </c>
      <c r="B12">
        <v>1640</v>
      </c>
      <c r="C12">
        <v>1875</v>
      </c>
      <c r="D12">
        <v>2116</v>
      </c>
      <c r="F12">
        <v>11</v>
      </c>
      <c r="G12">
        <f t="shared" si="1"/>
        <v>1469</v>
      </c>
      <c r="H12">
        <f t="shared" si="0"/>
        <v>1690</v>
      </c>
      <c r="I12">
        <f t="shared" si="0"/>
        <v>1917</v>
      </c>
      <c r="K12">
        <v>10</v>
      </c>
    </row>
    <row r="13" spans="1:11" x14ac:dyDescent="0.3">
      <c r="A13">
        <v>12</v>
      </c>
      <c r="B13">
        <v>1815</v>
      </c>
      <c r="C13">
        <v>2015</v>
      </c>
      <c r="D13">
        <v>2319</v>
      </c>
      <c r="F13">
        <v>12</v>
      </c>
      <c r="G13">
        <f t="shared" si="1"/>
        <v>1644</v>
      </c>
      <c r="H13">
        <f t="shared" si="0"/>
        <v>1830</v>
      </c>
      <c r="I13">
        <f t="shared" si="0"/>
        <v>2120</v>
      </c>
      <c r="K13">
        <v>11</v>
      </c>
    </row>
    <row r="14" spans="1:11" x14ac:dyDescent="0.3">
      <c r="G14">
        <v>170.559</v>
      </c>
      <c r="H14">
        <v>179.399</v>
      </c>
      <c r="I14">
        <v>193.80799999999999</v>
      </c>
      <c r="K14">
        <v>12</v>
      </c>
    </row>
    <row r="15" spans="1:11" x14ac:dyDescent="0.3">
      <c r="G15">
        <f>G14*2*G1</f>
        <v>245.60495999999998</v>
      </c>
      <c r="H15">
        <f t="shared" ref="H15" si="2">H14*2*H1</f>
        <v>254.74657999999999</v>
      </c>
      <c r="I15">
        <f>I14*2*I1</f>
        <v>271.33119999999997</v>
      </c>
      <c r="K15">
        <v>0</v>
      </c>
    </row>
    <row r="16" spans="1:11" x14ac:dyDescent="0.3">
      <c r="K16">
        <v>105</v>
      </c>
    </row>
    <row r="17" spans="1:11" x14ac:dyDescent="0.3">
      <c r="B17">
        <v>0.72</v>
      </c>
      <c r="D17">
        <v>0.71</v>
      </c>
      <c r="F17">
        <v>0.7</v>
      </c>
      <c r="K17">
        <v>284</v>
      </c>
    </row>
    <row r="18" spans="1:11" x14ac:dyDescent="0.3">
      <c r="A18">
        <v>1</v>
      </c>
      <c r="B18">
        <v>171</v>
      </c>
      <c r="C18">
        <v>0</v>
      </c>
      <c r="D18">
        <v>185</v>
      </c>
      <c r="E18">
        <v>0</v>
      </c>
      <c r="F18">
        <v>199</v>
      </c>
      <c r="G18">
        <v>0</v>
      </c>
      <c r="K18">
        <v>431</v>
      </c>
    </row>
    <row r="19" spans="1:11" x14ac:dyDescent="0.3">
      <c r="A19">
        <v>2</v>
      </c>
      <c r="B19">
        <v>276</v>
      </c>
      <c r="C19">
        <v>105</v>
      </c>
      <c r="D19">
        <v>314</v>
      </c>
      <c r="E19">
        <v>129</v>
      </c>
      <c r="F19">
        <v>370</v>
      </c>
      <c r="G19">
        <v>171</v>
      </c>
      <c r="K19">
        <v>548</v>
      </c>
    </row>
    <row r="20" spans="1:11" x14ac:dyDescent="0.3">
      <c r="A20">
        <v>3</v>
      </c>
      <c r="B20">
        <v>455</v>
      </c>
      <c r="C20">
        <v>284</v>
      </c>
      <c r="D20">
        <v>524</v>
      </c>
      <c r="E20">
        <v>339</v>
      </c>
      <c r="F20">
        <v>590</v>
      </c>
      <c r="G20">
        <v>391</v>
      </c>
      <c r="K20">
        <v>735</v>
      </c>
    </row>
    <row r="21" spans="1:11" x14ac:dyDescent="0.3">
      <c r="A21">
        <v>4</v>
      </c>
      <c r="B21">
        <v>602</v>
      </c>
      <c r="C21">
        <v>431</v>
      </c>
      <c r="D21">
        <v>647</v>
      </c>
      <c r="E21">
        <v>462</v>
      </c>
      <c r="F21">
        <v>735</v>
      </c>
      <c r="G21">
        <v>536</v>
      </c>
      <c r="K21">
        <v>871</v>
      </c>
    </row>
    <row r="22" spans="1:11" x14ac:dyDescent="0.3">
      <c r="A22">
        <v>5</v>
      </c>
      <c r="B22">
        <v>719</v>
      </c>
      <c r="C22">
        <v>548</v>
      </c>
      <c r="D22">
        <v>834</v>
      </c>
      <c r="E22">
        <v>649</v>
      </c>
      <c r="F22">
        <v>984</v>
      </c>
      <c r="G22">
        <v>785</v>
      </c>
      <c r="K22">
        <v>1002</v>
      </c>
    </row>
    <row r="23" spans="1:11" x14ac:dyDescent="0.3">
      <c r="A23">
        <v>6</v>
      </c>
      <c r="B23">
        <v>906</v>
      </c>
      <c r="C23">
        <v>735</v>
      </c>
      <c r="D23">
        <v>1021</v>
      </c>
      <c r="E23">
        <v>836</v>
      </c>
      <c r="F23">
        <v>1118</v>
      </c>
      <c r="G23">
        <v>919</v>
      </c>
      <c r="K23">
        <v>1193</v>
      </c>
    </row>
    <row r="24" spans="1:11" x14ac:dyDescent="0.3">
      <c r="A24">
        <v>7</v>
      </c>
      <c r="B24">
        <v>1042</v>
      </c>
      <c r="C24">
        <v>871</v>
      </c>
      <c r="D24">
        <v>1154</v>
      </c>
      <c r="E24">
        <v>969</v>
      </c>
      <c r="F24">
        <v>1371</v>
      </c>
      <c r="G24">
        <v>1172</v>
      </c>
      <c r="K24">
        <v>1340</v>
      </c>
    </row>
    <row r="25" spans="1:11" x14ac:dyDescent="0.3">
      <c r="A25">
        <v>8</v>
      </c>
      <c r="B25">
        <v>1173</v>
      </c>
      <c r="C25">
        <v>1002</v>
      </c>
      <c r="D25">
        <v>1368</v>
      </c>
      <c r="E25">
        <v>1183</v>
      </c>
      <c r="F25">
        <v>1543</v>
      </c>
      <c r="G25">
        <v>1344</v>
      </c>
      <c r="K25">
        <v>1469</v>
      </c>
    </row>
    <row r="26" spans="1:11" x14ac:dyDescent="0.3">
      <c r="A26">
        <v>9</v>
      </c>
      <c r="B26">
        <v>1364</v>
      </c>
      <c r="C26">
        <v>1193</v>
      </c>
      <c r="D26">
        <v>1527</v>
      </c>
      <c r="E26">
        <v>1342</v>
      </c>
      <c r="F26">
        <v>1745</v>
      </c>
      <c r="G26">
        <v>1546</v>
      </c>
      <c r="K26">
        <v>1644</v>
      </c>
    </row>
    <row r="27" spans="1:11" x14ac:dyDescent="0.3">
      <c r="A27">
        <v>10</v>
      </c>
      <c r="B27">
        <v>1511</v>
      </c>
      <c r="C27">
        <v>1340</v>
      </c>
      <c r="D27">
        <v>1686</v>
      </c>
      <c r="E27">
        <v>1501</v>
      </c>
      <c r="F27">
        <v>1935</v>
      </c>
      <c r="G27">
        <v>1736</v>
      </c>
      <c r="K27">
        <v>1</v>
      </c>
    </row>
    <row r="28" spans="1:11" x14ac:dyDescent="0.3">
      <c r="A28">
        <v>11</v>
      </c>
      <c r="B28">
        <v>1640</v>
      </c>
      <c r="C28">
        <v>1469</v>
      </c>
      <c r="D28">
        <v>1875</v>
      </c>
      <c r="E28">
        <v>1690</v>
      </c>
      <c r="F28">
        <v>2116</v>
      </c>
      <c r="G28">
        <v>1917</v>
      </c>
      <c r="K28">
        <v>2</v>
      </c>
    </row>
    <row r="29" spans="1:11" x14ac:dyDescent="0.3">
      <c r="A29">
        <v>12</v>
      </c>
      <c r="B29">
        <v>1815</v>
      </c>
      <c r="C29">
        <v>1644</v>
      </c>
      <c r="D29">
        <v>2015</v>
      </c>
      <c r="E29">
        <v>1830</v>
      </c>
      <c r="F29">
        <v>2319</v>
      </c>
      <c r="G29">
        <v>2120</v>
      </c>
      <c r="K29">
        <v>3</v>
      </c>
    </row>
    <row r="30" spans="1:11" x14ac:dyDescent="0.3">
      <c r="K30">
        <v>4</v>
      </c>
    </row>
    <row r="31" spans="1:11" x14ac:dyDescent="0.3">
      <c r="K31">
        <v>5</v>
      </c>
    </row>
    <row r="32" spans="1:11" x14ac:dyDescent="0.3">
      <c r="K32">
        <v>6</v>
      </c>
    </row>
    <row r="33" spans="1:11" x14ac:dyDescent="0.3">
      <c r="A33" t="s">
        <v>9</v>
      </c>
      <c r="G33" t="s">
        <v>14</v>
      </c>
      <c r="K33">
        <v>7</v>
      </c>
    </row>
    <row r="34" spans="1:11" x14ac:dyDescent="0.3">
      <c r="A34" t="s">
        <v>15</v>
      </c>
      <c r="B34">
        <v>0.72</v>
      </c>
      <c r="C34">
        <v>0.71499999999999997</v>
      </c>
      <c r="D34">
        <v>0.71</v>
      </c>
      <c r="E34">
        <v>0.70499999999999996</v>
      </c>
      <c r="F34">
        <v>0.7</v>
      </c>
      <c r="G34">
        <v>0.72</v>
      </c>
      <c r="H34">
        <v>0.71</v>
      </c>
      <c r="I34">
        <v>0.7</v>
      </c>
      <c r="K34">
        <v>8</v>
      </c>
    </row>
    <row r="35" spans="1:11" x14ac:dyDescent="0.3">
      <c r="A35" s="6" t="s">
        <v>16</v>
      </c>
      <c r="B35" s="7">
        <v>240.881</v>
      </c>
      <c r="C35" s="7">
        <v>244.29400000000001</v>
      </c>
      <c r="D35" s="7">
        <v>233.47200000000001</v>
      </c>
      <c r="E35" s="7">
        <v>235.11500000000001</v>
      </c>
      <c r="F35" s="7">
        <v>248.11500000000001</v>
      </c>
      <c r="G35" s="7">
        <v>170.559</v>
      </c>
      <c r="H35" s="7">
        <v>179.399</v>
      </c>
      <c r="I35" s="7">
        <v>193.80799999999999</v>
      </c>
      <c r="K35">
        <v>9</v>
      </c>
    </row>
    <row r="36" spans="1:11" x14ac:dyDescent="0.3">
      <c r="A36" t="s">
        <v>17</v>
      </c>
      <c r="B36" s="7">
        <v>346.86863999999997</v>
      </c>
      <c r="C36" s="7">
        <v>349.34041999999999</v>
      </c>
      <c r="D36" s="7">
        <v>331.53023999999999</v>
      </c>
      <c r="E36" s="7">
        <v>331.51215000000002</v>
      </c>
      <c r="F36" s="7">
        <v>347.36099999999999</v>
      </c>
      <c r="G36" s="7">
        <v>245.60495999999998</v>
      </c>
      <c r="H36" s="7">
        <v>254.74657999999999</v>
      </c>
      <c r="I36" s="7">
        <v>271.33119999999997</v>
      </c>
      <c r="K36">
        <v>10</v>
      </c>
    </row>
    <row r="37" spans="1:11" x14ac:dyDescent="0.3">
      <c r="K37">
        <v>11</v>
      </c>
    </row>
    <row r="38" spans="1:11" x14ac:dyDescent="0.3">
      <c r="K38">
        <v>12</v>
      </c>
    </row>
    <row r="39" spans="1:11" x14ac:dyDescent="0.3">
      <c r="K39">
        <v>0</v>
      </c>
    </row>
    <row r="40" spans="1:11" x14ac:dyDescent="0.3">
      <c r="K40">
        <v>129</v>
      </c>
    </row>
    <row r="41" spans="1:11" x14ac:dyDescent="0.3">
      <c r="K41">
        <v>339</v>
      </c>
    </row>
    <row r="42" spans="1:11" x14ac:dyDescent="0.3">
      <c r="K42">
        <v>462</v>
      </c>
    </row>
    <row r="43" spans="1:11" x14ac:dyDescent="0.3">
      <c r="K43">
        <v>649</v>
      </c>
    </row>
    <row r="44" spans="1:11" x14ac:dyDescent="0.3">
      <c r="K44">
        <v>836</v>
      </c>
    </row>
    <row r="45" spans="1:11" x14ac:dyDescent="0.3">
      <c r="K45">
        <v>969</v>
      </c>
    </row>
    <row r="46" spans="1:11" x14ac:dyDescent="0.3">
      <c r="K46">
        <v>1183</v>
      </c>
    </row>
    <row r="47" spans="1:11" x14ac:dyDescent="0.3">
      <c r="K47">
        <v>1342</v>
      </c>
    </row>
    <row r="48" spans="1:11" x14ac:dyDescent="0.3">
      <c r="K48">
        <v>1501</v>
      </c>
    </row>
    <row r="49" spans="11:11" x14ac:dyDescent="0.3">
      <c r="K49">
        <v>1690</v>
      </c>
    </row>
    <row r="50" spans="11:11" x14ac:dyDescent="0.3">
      <c r="K50">
        <v>1830</v>
      </c>
    </row>
    <row r="51" spans="11:11" x14ac:dyDescent="0.3">
      <c r="K51">
        <v>1</v>
      </c>
    </row>
    <row r="52" spans="11:11" x14ac:dyDescent="0.3">
      <c r="K52">
        <v>2</v>
      </c>
    </row>
    <row r="53" spans="11:11" x14ac:dyDescent="0.3">
      <c r="K53">
        <v>3</v>
      </c>
    </row>
    <row r="54" spans="11:11" x14ac:dyDescent="0.3">
      <c r="K54">
        <v>4</v>
      </c>
    </row>
    <row r="55" spans="11:11" x14ac:dyDescent="0.3">
      <c r="K55">
        <v>5</v>
      </c>
    </row>
    <row r="56" spans="11:11" x14ac:dyDescent="0.3">
      <c r="K56">
        <v>6</v>
      </c>
    </row>
    <row r="57" spans="11:11" x14ac:dyDescent="0.3">
      <c r="K57">
        <v>7</v>
      </c>
    </row>
    <row r="58" spans="11:11" x14ac:dyDescent="0.3">
      <c r="K58">
        <v>8</v>
      </c>
    </row>
    <row r="59" spans="11:11" x14ac:dyDescent="0.3">
      <c r="K59">
        <v>9</v>
      </c>
    </row>
    <row r="60" spans="11:11" x14ac:dyDescent="0.3">
      <c r="K60">
        <v>10</v>
      </c>
    </row>
    <row r="61" spans="11:11" x14ac:dyDescent="0.3">
      <c r="K61">
        <v>11</v>
      </c>
    </row>
    <row r="62" spans="11:11" x14ac:dyDescent="0.3">
      <c r="K62">
        <v>12</v>
      </c>
    </row>
    <row r="63" spans="11:11" x14ac:dyDescent="0.3">
      <c r="K63">
        <v>0</v>
      </c>
    </row>
    <row r="64" spans="11:11" x14ac:dyDescent="0.3">
      <c r="K64">
        <v>171</v>
      </c>
    </row>
    <row r="65" spans="11:11" x14ac:dyDescent="0.3">
      <c r="K65">
        <v>391</v>
      </c>
    </row>
    <row r="66" spans="11:11" x14ac:dyDescent="0.3">
      <c r="K66">
        <v>536</v>
      </c>
    </row>
    <row r="67" spans="11:11" x14ac:dyDescent="0.3">
      <c r="K67">
        <v>785</v>
      </c>
    </row>
    <row r="68" spans="11:11" x14ac:dyDescent="0.3">
      <c r="K68">
        <v>919</v>
      </c>
    </row>
    <row r="69" spans="11:11" x14ac:dyDescent="0.3">
      <c r="K69">
        <v>1172</v>
      </c>
    </row>
    <row r="70" spans="11:11" x14ac:dyDescent="0.3">
      <c r="K70">
        <v>1344</v>
      </c>
    </row>
    <row r="71" spans="11:11" x14ac:dyDescent="0.3">
      <c r="K71">
        <v>1546</v>
      </c>
    </row>
    <row r="72" spans="11:11" x14ac:dyDescent="0.3">
      <c r="K72">
        <v>1736</v>
      </c>
    </row>
    <row r="73" spans="11:11" x14ac:dyDescent="0.3">
      <c r="K73">
        <v>1917</v>
      </c>
    </row>
    <row r="74" spans="11:11" x14ac:dyDescent="0.3">
      <c r="K74">
        <v>2120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Воздух</vt:lpstr>
      <vt:lpstr>CO2</vt:lpstr>
      <vt:lpstr>Термостат</vt:lpstr>
      <vt:lpstr>Лист1</vt:lpstr>
      <vt:lpstr>Воздух 1.2</vt:lpstr>
      <vt:lpstr>СО2 1.2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2025-04-07T06:15:30Z</dcterms:created>
  <dcterms:modified xsi:type="dcterms:W3CDTF">2025-04-11T12:10:15Z</dcterms:modified>
</cp:coreProperties>
</file>