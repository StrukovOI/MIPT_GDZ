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5 семестр\5 4 1\"/>
    </mc:Choice>
  </mc:AlternateContent>
  <xr:revisionPtr revIDLastSave="0" documentId="13_ncr:1_{1B7B78C1-F177-4490-9FF1-A8B14F76CB12}" xr6:coauthVersionLast="47" xr6:coauthVersionMax="47" xr10:uidLastSave="{00000000-0000-0000-0000-000000000000}"/>
  <bookViews>
    <workbookView xWindow="-108" yWindow="-108" windowWidth="23256" windowHeight="13896" activeTab="2" xr2:uid="{174B4CAC-2949-4EC7-8AF0-2071A12BBDA4}"/>
  </bookViews>
  <sheets>
    <sheet name="Лист1" sheetId="1" r:id="rId1"/>
    <sheet name="Лист4" sheetId="4" r:id="rId2"/>
    <sheet name="Лист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C4" i="3"/>
  <c r="C5" i="3"/>
  <c r="C6" i="3"/>
  <c r="C9" i="3"/>
  <c r="C11" i="3"/>
  <c r="C12" i="3"/>
  <c r="C14" i="3"/>
  <c r="C15" i="3"/>
  <c r="C18" i="3"/>
  <c r="C19" i="3"/>
  <c r="C21" i="3"/>
  <c r="C22" i="3"/>
  <c r="C23" i="3"/>
  <c r="C24" i="3"/>
  <c r="C3" i="3"/>
  <c r="C7" i="3"/>
  <c r="C8" i="3"/>
  <c r="C10" i="3"/>
  <c r="C13" i="3"/>
  <c r="C16" i="3"/>
  <c r="C17" i="3"/>
  <c r="C20" i="3"/>
  <c r="C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<sst xmlns="http://schemas.openxmlformats.org/spreadsheetml/2006/main" count="16" uniqueCount="11">
  <si>
    <t>x, мм</t>
  </si>
  <si>
    <t>n</t>
  </si>
  <si>
    <t>N</t>
  </si>
  <si>
    <t>t, с</t>
  </si>
  <si>
    <t>Давление</t>
  </si>
  <si>
    <t>Ток, пА</t>
  </si>
  <si>
    <t>Нулевое показание 2 pA</t>
  </si>
  <si>
    <t>После включения 620 пА</t>
  </si>
  <si>
    <t>давление 743</t>
  </si>
  <si>
    <t>Число (за 10 с)</t>
  </si>
  <si>
    <t>Давление, мм рт 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</si>
</sst>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0"/>
      <color rgb="FF1A1A1A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0" xfId="0" applyNumberFormat="1"/>
    <xf numFmtId="3" fontId="0" fillId="0" borderId="0" xfId="0" applyNumberFormat="1"/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Лист1!$D$2:$D$21</c:f>
              <c:numCache>
                <c:formatCode>General</c:formatCode>
                <c:ptCount val="20"/>
                <c:pt idx="0">
                  <c:v>40</c:v>
                </c:pt>
                <c:pt idx="1">
                  <c:v>35</c:v>
                </c:pt>
                <c:pt idx="2">
                  <c:v>35</c:v>
                </c:pt>
                <c:pt idx="3">
                  <c:v>30</c:v>
                </c:pt>
                <c:pt idx="4">
                  <c:v>25</c:v>
                </c:pt>
                <c:pt idx="5">
                  <c:v>25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15</c:v>
                </c:pt>
                <c:pt idx="10">
                  <c:v>12.5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7.5</c:v>
                </c:pt>
                <c:pt idx="16">
                  <c:v>6</c:v>
                </c:pt>
                <c:pt idx="17">
                  <c:v>5</c:v>
                </c:pt>
                <c:pt idx="18">
                  <c:v>2.5</c:v>
                </c:pt>
                <c:pt idx="19">
                  <c:v>0</c:v>
                </c:pt>
              </c:numCache>
            </c:numRef>
          </c:xVal>
          <c:yVal>
            <c:numRef>
              <c:f>Лист1!$E$2:$E$21</c:f>
              <c:numCache>
                <c:formatCode>0.000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0.1</c:v>
                </c:pt>
                <c:pt idx="3">
                  <c:v>9.8360655737704916E-2</c:v>
                </c:pt>
                <c:pt idx="4">
                  <c:v>0.2</c:v>
                </c:pt>
                <c:pt idx="5">
                  <c:v>0.3</c:v>
                </c:pt>
                <c:pt idx="6">
                  <c:v>0.12903225806451613</c:v>
                </c:pt>
                <c:pt idx="7">
                  <c:v>0.1</c:v>
                </c:pt>
                <c:pt idx="8">
                  <c:v>0.13333333333333333</c:v>
                </c:pt>
                <c:pt idx="9">
                  <c:v>0.46666666666666667</c:v>
                </c:pt>
                <c:pt idx="10">
                  <c:v>0.23333333333333334</c:v>
                </c:pt>
                <c:pt idx="11">
                  <c:v>0.43333333333333335</c:v>
                </c:pt>
                <c:pt idx="12">
                  <c:v>0.46666666666666667</c:v>
                </c:pt>
                <c:pt idx="13">
                  <c:v>0.55000000000000004</c:v>
                </c:pt>
                <c:pt idx="14">
                  <c:v>0.43333333333333335</c:v>
                </c:pt>
                <c:pt idx="15">
                  <c:v>4.5</c:v>
                </c:pt>
                <c:pt idx="16">
                  <c:v>13.833333333333334</c:v>
                </c:pt>
                <c:pt idx="17">
                  <c:v>14.85</c:v>
                </c:pt>
                <c:pt idx="18">
                  <c:v>18.75</c:v>
                </c:pt>
                <c:pt idx="19">
                  <c:v>16.2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1-4631-B733-45151C186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704768"/>
        <c:axId val="1466730480"/>
      </c:scatterChart>
      <c:valAx>
        <c:axId val="156970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6730480"/>
        <c:crosses val="autoZero"/>
        <c:crossBetween val="midCat"/>
      </c:valAx>
      <c:valAx>
        <c:axId val="14667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70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Лист1!$G$2:$G$20</c:f>
              <c:numCache>
                <c:formatCode>General</c:formatCode>
                <c:ptCount val="19"/>
                <c:pt idx="0">
                  <c:v>40</c:v>
                </c:pt>
                <c:pt idx="1">
                  <c:v>35</c:v>
                </c:pt>
                <c:pt idx="2">
                  <c:v>25</c:v>
                </c:pt>
                <c:pt idx="3">
                  <c:v>15</c:v>
                </c:pt>
                <c:pt idx="4">
                  <c:v>10</c:v>
                </c:pt>
                <c:pt idx="5">
                  <c:v>7.5</c:v>
                </c:pt>
                <c:pt idx="6">
                  <c:v>6</c:v>
                </c:pt>
                <c:pt idx="7">
                  <c:v>5</c:v>
                </c:pt>
                <c:pt idx="8">
                  <c:v>2.5</c:v>
                </c:pt>
                <c:pt idx="9">
                  <c:v>0</c:v>
                </c:pt>
              </c:numCache>
            </c:numRef>
          </c:xVal>
          <c:yVal>
            <c:numRef>
              <c:f>Лист1!$H$2:$H$20</c:f>
              <c:numCache>
                <c:formatCode>0.000</c:formatCode>
                <c:ptCount val="19"/>
                <c:pt idx="0">
                  <c:v>0.1</c:v>
                </c:pt>
                <c:pt idx="1">
                  <c:v>0.2</c:v>
                </c:pt>
                <c:pt idx="2" formatCode="General">
                  <c:v>0.3</c:v>
                </c:pt>
                <c:pt idx="3" formatCode="General">
                  <c:v>0.46666666666666667</c:v>
                </c:pt>
                <c:pt idx="4" formatCode="General">
                  <c:v>0.55000000000000004</c:v>
                </c:pt>
                <c:pt idx="5">
                  <c:v>4.5</c:v>
                </c:pt>
                <c:pt idx="6">
                  <c:v>13.833333333333334</c:v>
                </c:pt>
                <c:pt idx="7">
                  <c:v>14.85</c:v>
                </c:pt>
                <c:pt idx="8">
                  <c:v>18.75</c:v>
                </c:pt>
                <c:pt idx="9">
                  <c:v>16.2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F5-4DD0-9DA3-1AE4E98EB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645760"/>
        <c:axId val="1466726160"/>
      </c:scatterChart>
      <c:valAx>
        <c:axId val="156864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6726160"/>
        <c:crosses val="autoZero"/>
        <c:crossBetween val="midCat"/>
      </c:valAx>
      <c:valAx>
        <c:axId val="14667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64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Лист4!$A$2:$A$6</c:f>
              <c:numCache>
                <c:formatCode>#,##0</c:formatCode>
                <c:ptCount val="5"/>
                <c:pt idx="0">
                  <c:v>722</c:v>
                </c:pt>
                <c:pt idx="1">
                  <c:v>685</c:v>
                </c:pt>
                <c:pt idx="2">
                  <c:v>650</c:v>
                </c:pt>
                <c:pt idx="3">
                  <c:v>622</c:v>
                </c:pt>
                <c:pt idx="4">
                  <c:v>600</c:v>
                </c:pt>
              </c:numCache>
            </c:numRef>
          </c:xVal>
          <c:yVal>
            <c:numRef>
              <c:f>Лист4!$B$2:$B$6</c:f>
              <c:numCache>
                <c:formatCode>General</c:formatCode>
                <c:ptCount val="5"/>
                <c:pt idx="0">
                  <c:v>3244</c:v>
                </c:pt>
                <c:pt idx="1">
                  <c:v>2548</c:v>
                </c:pt>
                <c:pt idx="2">
                  <c:v>1896</c:v>
                </c:pt>
                <c:pt idx="3">
                  <c:v>1356</c:v>
                </c:pt>
                <c:pt idx="4">
                  <c:v>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BF-495F-8DDE-DD7FED1C0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528639"/>
        <c:axId val="916370447"/>
      </c:scatterChart>
      <c:valAx>
        <c:axId val="83252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6370447"/>
        <c:crosses val="autoZero"/>
        <c:crossBetween val="midCat"/>
      </c:valAx>
      <c:valAx>
        <c:axId val="9163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252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Лист2!$B$2:$B$24</c:f>
              <c:numCache>
                <c:formatCode>General</c:formatCode>
                <c:ptCount val="23"/>
                <c:pt idx="0">
                  <c:v>4</c:v>
                </c:pt>
                <c:pt idx="1">
                  <c:v>5</c:v>
                </c:pt>
                <c:pt idx="2">
                  <c:v>23</c:v>
                </c:pt>
                <c:pt idx="3">
                  <c:v>36</c:v>
                </c:pt>
                <c:pt idx="4">
                  <c:v>90</c:v>
                </c:pt>
                <c:pt idx="5">
                  <c:v>90</c:v>
                </c:pt>
                <c:pt idx="6">
                  <c:v>120</c:v>
                </c:pt>
                <c:pt idx="7">
                  <c:v>148</c:v>
                </c:pt>
                <c:pt idx="8">
                  <c:v>168</c:v>
                </c:pt>
                <c:pt idx="9">
                  <c:v>206</c:v>
                </c:pt>
                <c:pt idx="10">
                  <c:v>265</c:v>
                </c:pt>
                <c:pt idx="11">
                  <c:v>295</c:v>
                </c:pt>
                <c:pt idx="12">
                  <c:v>321</c:v>
                </c:pt>
                <c:pt idx="13">
                  <c:v>390</c:v>
                </c:pt>
                <c:pt idx="14">
                  <c:v>455</c:v>
                </c:pt>
                <c:pt idx="15">
                  <c:v>497</c:v>
                </c:pt>
                <c:pt idx="16">
                  <c:v>580</c:v>
                </c:pt>
                <c:pt idx="17">
                  <c:v>640</c:v>
                </c:pt>
                <c:pt idx="18">
                  <c:v>640</c:v>
                </c:pt>
                <c:pt idx="19">
                  <c:v>640</c:v>
                </c:pt>
                <c:pt idx="20">
                  <c:v>632</c:v>
                </c:pt>
                <c:pt idx="21">
                  <c:v>625</c:v>
                </c:pt>
                <c:pt idx="22">
                  <c:v>620</c:v>
                </c:pt>
              </c:numCache>
            </c:numRef>
          </c:xVal>
          <c:yVal>
            <c:numRef>
              <c:f>Лист2!$C$2:$C$24</c:f>
              <c:numCache>
                <c:formatCode>General</c:formatCode>
                <c:ptCount val="23"/>
                <c:pt idx="0">
                  <c:v>8</c:v>
                </c:pt>
                <c:pt idx="1">
                  <c:v>8</c:v>
                </c:pt>
                <c:pt idx="2">
                  <c:v>28</c:v>
                </c:pt>
                <c:pt idx="3">
                  <c:v>38</c:v>
                </c:pt>
                <c:pt idx="4">
                  <c:v>90</c:v>
                </c:pt>
                <c:pt idx="5">
                  <c:v>91</c:v>
                </c:pt>
                <c:pt idx="6">
                  <c:v>118</c:v>
                </c:pt>
                <c:pt idx="7">
                  <c:v>143</c:v>
                </c:pt>
                <c:pt idx="8">
                  <c:v>168</c:v>
                </c:pt>
                <c:pt idx="9">
                  <c:v>193</c:v>
                </c:pt>
                <c:pt idx="10">
                  <c:v>243</c:v>
                </c:pt>
                <c:pt idx="11">
                  <c:v>268</c:v>
                </c:pt>
                <c:pt idx="12">
                  <c:v>293</c:v>
                </c:pt>
                <c:pt idx="13">
                  <c:v>343</c:v>
                </c:pt>
                <c:pt idx="14">
                  <c:v>388</c:v>
                </c:pt>
                <c:pt idx="15">
                  <c:v>421</c:v>
                </c:pt>
                <c:pt idx="16">
                  <c:v>478</c:v>
                </c:pt>
                <c:pt idx="17">
                  <c:v>543</c:v>
                </c:pt>
                <c:pt idx="18">
                  <c:v>543</c:v>
                </c:pt>
                <c:pt idx="19">
                  <c:v>593</c:v>
                </c:pt>
                <c:pt idx="20">
                  <c:v>638</c:v>
                </c:pt>
                <c:pt idx="21">
                  <c:v>688</c:v>
                </c:pt>
                <c:pt idx="22">
                  <c:v>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97-44C5-AEB9-546A8EE89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484063"/>
        <c:axId val="1975143183"/>
      </c:scatterChart>
      <c:valAx>
        <c:axId val="32648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5143183"/>
        <c:crosses val="autoZero"/>
        <c:crossBetween val="midCat"/>
      </c:valAx>
      <c:valAx>
        <c:axId val="197514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648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601980</xdr:colOff>
      <xdr:row>0</xdr:row>
      <xdr:rowOff>49530</xdr:rowOff>
    </xdr:from>
    <xdr:to>
      <xdr:col>22</xdr:col>
      <xdr:colOff>297180</xdr:colOff>
      <xdr:row>15</xdr:row>
      <xdr:rowOff>49530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527FED9-C23A-C303-96F8-1C210F074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586740</xdr:colOff>
      <xdr:row>15</xdr:row>
      <xdr:rowOff>72390</xdr:rowOff>
    </xdr:from>
    <xdr:to>
      <xdr:col>22</xdr:col>
      <xdr:colOff>281940</xdr:colOff>
      <xdr:row>30</xdr:row>
      <xdr:rowOff>57150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CA88D21-1054-8179-3B41-68D6A965A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87630</xdr:rowOff>
    </xdr:from>
    <xdr:to>
      <xdr:col>15</xdr:col>
      <xdr:colOff>228600</xdr:colOff>
      <xdr:row>22</xdr:row>
      <xdr:rowOff>87630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338B21-3E44-1481-FED4-CF4B2D35F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2</xdr:row>
      <xdr:rowOff>171450</xdr:rowOff>
    </xdr:from>
    <xdr:to>
      <xdr:col>18</xdr:col>
      <xdr:colOff>358140</xdr:colOff>
      <xdr:row>17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DEDEAD-5B32-9CAB-E08D-49F0CCED4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6B1B-F271-474D-AB5B-13386183728D}">
  <dimension ref="A1:H21"/>
  <sheetViews>
    <sheetView workbookViewId="0">
      <selection activeCell="D1" sqref="D1:E21"/>
    </sheetView>
  </sheetViews>
  <sheetFormatPr defaultRowHeight="14.4" x14ac:dyDescent="0.3"/>
  <sheetData>
    <row r="1" spans="1:8" x14ac:dyDescent="0.3">
      <c r="A1" t="s">
        <v>0</v>
      </c>
      <c r="B1" t="s">
        <v>3</v>
      </c>
      <c r="C1" t="s">
        <v>1</v>
      </c>
      <c r="D1" t="s">
        <v>0</v>
      </c>
      <c r="E1" t="s">
        <v>2</v>
      </c>
      <c r="G1" t="s">
        <v>0</v>
      </c>
      <c r="H1" t="s">
        <v>2</v>
      </c>
    </row>
    <row r="2" spans="1:8" x14ac:dyDescent="0.3">
      <c r="A2" s="1">
        <v>40</v>
      </c>
      <c r="B2">
        <v>20</v>
      </c>
      <c r="C2">
        <v>2</v>
      </c>
      <c r="D2" s="1">
        <v>40</v>
      </c>
      <c r="E2" s="2">
        <f>C2/B2</f>
        <v>0.1</v>
      </c>
      <c r="G2" s="1">
        <v>40</v>
      </c>
      <c r="H2" s="2">
        <v>0.1</v>
      </c>
    </row>
    <row r="3" spans="1:8" x14ac:dyDescent="0.3">
      <c r="A3" s="1">
        <v>35</v>
      </c>
      <c r="B3">
        <v>20</v>
      </c>
      <c r="C3">
        <v>4</v>
      </c>
      <c r="D3" s="1">
        <v>35</v>
      </c>
      <c r="E3" s="2">
        <f t="shared" ref="E3:E21" si="0">C3/B3</f>
        <v>0.2</v>
      </c>
      <c r="G3" s="1">
        <v>35</v>
      </c>
      <c r="H3" s="2">
        <v>0.2</v>
      </c>
    </row>
    <row r="4" spans="1:8" x14ac:dyDescent="0.3">
      <c r="A4" s="1">
        <v>35</v>
      </c>
      <c r="B4">
        <v>60</v>
      </c>
      <c r="C4">
        <v>6</v>
      </c>
      <c r="D4" s="1">
        <v>35</v>
      </c>
      <c r="E4" s="2">
        <f t="shared" si="0"/>
        <v>0.1</v>
      </c>
      <c r="G4">
        <v>25</v>
      </c>
      <c r="H4">
        <v>0.3</v>
      </c>
    </row>
    <row r="5" spans="1:8" x14ac:dyDescent="0.3">
      <c r="A5" s="1">
        <v>30</v>
      </c>
      <c r="B5">
        <v>61</v>
      </c>
      <c r="C5">
        <v>6</v>
      </c>
      <c r="D5" s="1">
        <v>30</v>
      </c>
      <c r="E5" s="2">
        <f t="shared" si="0"/>
        <v>9.8360655737704916E-2</v>
      </c>
      <c r="G5">
        <v>15</v>
      </c>
      <c r="H5">
        <v>0.46666666666666667</v>
      </c>
    </row>
    <row r="6" spans="1:8" x14ac:dyDescent="0.3">
      <c r="A6" s="1">
        <v>25</v>
      </c>
      <c r="B6">
        <v>30</v>
      </c>
      <c r="C6">
        <v>6</v>
      </c>
      <c r="D6" s="1">
        <v>25</v>
      </c>
      <c r="E6" s="2">
        <f t="shared" si="0"/>
        <v>0.2</v>
      </c>
      <c r="G6">
        <v>10</v>
      </c>
      <c r="H6">
        <v>0.55000000000000004</v>
      </c>
    </row>
    <row r="7" spans="1:8" x14ac:dyDescent="0.3">
      <c r="A7" s="1">
        <v>25</v>
      </c>
      <c r="B7">
        <v>30</v>
      </c>
      <c r="C7">
        <v>9</v>
      </c>
      <c r="D7" s="1">
        <v>25</v>
      </c>
      <c r="E7" s="2">
        <f t="shared" si="0"/>
        <v>0.3</v>
      </c>
      <c r="G7" s="1">
        <v>7.5</v>
      </c>
      <c r="H7" s="2">
        <v>4.5</v>
      </c>
    </row>
    <row r="8" spans="1:8" x14ac:dyDescent="0.3">
      <c r="A8" s="1">
        <v>20</v>
      </c>
      <c r="B8">
        <v>31</v>
      </c>
      <c r="C8">
        <v>4</v>
      </c>
      <c r="D8" s="1">
        <v>20</v>
      </c>
      <c r="E8" s="2">
        <f t="shared" si="0"/>
        <v>0.12903225806451613</v>
      </c>
      <c r="G8" s="1">
        <v>6</v>
      </c>
      <c r="H8" s="2">
        <v>13.833333333333334</v>
      </c>
    </row>
    <row r="9" spans="1:8" x14ac:dyDescent="0.3">
      <c r="A9" s="1">
        <v>20</v>
      </c>
      <c r="B9">
        <v>40</v>
      </c>
      <c r="C9">
        <v>4</v>
      </c>
      <c r="D9" s="1">
        <v>20</v>
      </c>
      <c r="E9" s="2">
        <f t="shared" si="0"/>
        <v>0.1</v>
      </c>
      <c r="G9" s="1">
        <v>5</v>
      </c>
      <c r="H9" s="2">
        <v>14.85</v>
      </c>
    </row>
    <row r="10" spans="1:8" x14ac:dyDescent="0.3">
      <c r="A10" s="1">
        <v>20</v>
      </c>
      <c r="B10">
        <v>30</v>
      </c>
      <c r="C10">
        <v>4</v>
      </c>
      <c r="D10" s="1">
        <v>20</v>
      </c>
      <c r="E10" s="2">
        <f t="shared" si="0"/>
        <v>0.13333333333333333</v>
      </c>
      <c r="G10" s="1">
        <v>2.5</v>
      </c>
      <c r="H10" s="2">
        <v>18.75</v>
      </c>
    </row>
    <row r="11" spans="1:8" x14ac:dyDescent="0.3">
      <c r="A11" s="1">
        <v>15</v>
      </c>
      <c r="B11">
        <v>30</v>
      </c>
      <c r="C11">
        <v>14</v>
      </c>
      <c r="D11" s="1">
        <v>15</v>
      </c>
      <c r="E11" s="2">
        <f t="shared" si="0"/>
        <v>0.46666666666666667</v>
      </c>
      <c r="G11" s="1">
        <v>0</v>
      </c>
      <c r="H11" s="2">
        <v>16.2</v>
      </c>
    </row>
    <row r="12" spans="1:8" x14ac:dyDescent="0.3">
      <c r="A12" s="1">
        <v>12.5</v>
      </c>
      <c r="B12">
        <v>30</v>
      </c>
      <c r="C12">
        <v>7</v>
      </c>
      <c r="D12" s="1">
        <v>12.5</v>
      </c>
      <c r="E12" s="2">
        <f t="shared" si="0"/>
        <v>0.23333333333333334</v>
      </c>
    </row>
    <row r="13" spans="1:8" x14ac:dyDescent="0.3">
      <c r="A13" s="1">
        <v>10</v>
      </c>
      <c r="B13">
        <v>30</v>
      </c>
      <c r="C13">
        <v>13</v>
      </c>
      <c r="D13" s="1">
        <v>10</v>
      </c>
      <c r="E13" s="2">
        <f t="shared" si="0"/>
        <v>0.43333333333333335</v>
      </c>
    </row>
    <row r="14" spans="1:8" x14ac:dyDescent="0.3">
      <c r="A14" s="1">
        <v>10</v>
      </c>
      <c r="B14">
        <v>30</v>
      </c>
      <c r="C14">
        <v>14</v>
      </c>
      <c r="D14" s="1">
        <v>10</v>
      </c>
      <c r="E14" s="2">
        <f t="shared" si="0"/>
        <v>0.46666666666666667</v>
      </c>
    </row>
    <row r="15" spans="1:8" x14ac:dyDescent="0.3">
      <c r="A15" s="1">
        <v>10</v>
      </c>
      <c r="B15">
        <v>20</v>
      </c>
      <c r="C15">
        <v>11</v>
      </c>
      <c r="D15" s="1">
        <v>10</v>
      </c>
      <c r="E15" s="2">
        <f t="shared" si="0"/>
        <v>0.55000000000000004</v>
      </c>
    </row>
    <row r="16" spans="1:8" x14ac:dyDescent="0.3">
      <c r="A16" s="1">
        <v>9</v>
      </c>
      <c r="B16">
        <v>30</v>
      </c>
      <c r="C16">
        <v>13</v>
      </c>
      <c r="D16" s="1">
        <v>9</v>
      </c>
      <c r="E16" s="2">
        <f t="shared" si="0"/>
        <v>0.43333333333333335</v>
      </c>
    </row>
    <row r="17" spans="1:5" x14ac:dyDescent="0.3">
      <c r="A17" s="1">
        <v>7.5</v>
      </c>
      <c r="B17">
        <v>20</v>
      </c>
      <c r="C17">
        <v>90</v>
      </c>
      <c r="D17" s="1">
        <v>7.5</v>
      </c>
      <c r="E17" s="2">
        <f t="shared" si="0"/>
        <v>4.5</v>
      </c>
    </row>
    <row r="18" spans="1:5" x14ac:dyDescent="0.3">
      <c r="A18" s="1">
        <v>6</v>
      </c>
      <c r="B18">
        <v>30</v>
      </c>
      <c r="C18">
        <v>415</v>
      </c>
      <c r="D18" s="1">
        <v>6</v>
      </c>
      <c r="E18" s="2">
        <f t="shared" si="0"/>
        <v>13.833333333333334</v>
      </c>
    </row>
    <row r="19" spans="1:5" x14ac:dyDescent="0.3">
      <c r="A19" s="1">
        <v>5</v>
      </c>
      <c r="B19">
        <v>20</v>
      </c>
      <c r="C19">
        <v>297</v>
      </c>
      <c r="D19" s="1">
        <v>5</v>
      </c>
      <c r="E19" s="2">
        <f t="shared" si="0"/>
        <v>14.85</v>
      </c>
    </row>
    <row r="20" spans="1:5" ht="15.6" customHeight="1" x14ac:dyDescent="0.3">
      <c r="A20" s="1">
        <v>2.5</v>
      </c>
      <c r="B20">
        <v>20</v>
      </c>
      <c r="C20">
        <v>375</v>
      </c>
      <c r="D20" s="1">
        <v>2.5</v>
      </c>
      <c r="E20" s="2">
        <f t="shared" si="0"/>
        <v>18.75</v>
      </c>
    </row>
    <row r="21" spans="1:5" x14ac:dyDescent="0.3">
      <c r="A21" s="1">
        <v>0</v>
      </c>
      <c r="B21">
        <v>20</v>
      </c>
      <c r="C21">
        <v>324</v>
      </c>
      <c r="D21" s="1">
        <v>0</v>
      </c>
      <c r="E21" s="2">
        <f t="shared" si="0"/>
        <v>16.2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17D2-12C4-4F3B-A5A1-A6C021741E78}">
  <dimension ref="A1:C21"/>
  <sheetViews>
    <sheetView workbookViewId="0">
      <selection activeCell="A2" sqref="A2:B6"/>
    </sheetView>
  </sheetViews>
  <sheetFormatPr defaultRowHeight="14.4" x14ac:dyDescent="0.3"/>
  <sheetData>
    <row r="1" spans="1:3" ht="17.399999999999999" customHeight="1" x14ac:dyDescent="0.3">
      <c r="A1" s="5" t="s">
        <v>4</v>
      </c>
      <c r="B1" t="s">
        <v>9</v>
      </c>
      <c r="C1" t="s">
        <v>10</v>
      </c>
    </row>
    <row r="2" spans="1:3" x14ac:dyDescent="0.3">
      <c r="A2" s="4">
        <v>722</v>
      </c>
      <c r="B2">
        <v>3244</v>
      </c>
      <c r="C2" s="3">
        <f>743-A2</f>
        <v>21</v>
      </c>
    </row>
    <row r="3" spans="1:3" x14ac:dyDescent="0.3">
      <c r="A3" s="4">
        <v>685</v>
      </c>
      <c r="B3">
        <v>2548</v>
      </c>
      <c r="C3" s="3">
        <f t="shared" ref="C3:C16" si="0">743-A3</f>
        <v>58</v>
      </c>
    </row>
    <row r="4" spans="1:3" x14ac:dyDescent="0.3">
      <c r="A4" s="4">
        <v>650</v>
      </c>
      <c r="B4">
        <v>1896</v>
      </c>
      <c r="C4" s="3">
        <f t="shared" si="0"/>
        <v>93</v>
      </c>
    </row>
    <row r="5" spans="1:3" x14ac:dyDescent="0.3">
      <c r="A5" s="4">
        <v>622</v>
      </c>
      <c r="B5">
        <v>1356</v>
      </c>
      <c r="C5" s="3">
        <f t="shared" si="0"/>
        <v>121</v>
      </c>
    </row>
    <row r="6" spans="1:3" x14ac:dyDescent="0.3">
      <c r="A6" s="4">
        <v>600</v>
      </c>
      <c r="B6">
        <v>959</v>
      </c>
      <c r="C6" s="3">
        <f t="shared" si="0"/>
        <v>143</v>
      </c>
    </row>
    <row r="7" spans="1:3" x14ac:dyDescent="0.3">
      <c r="A7" s="4">
        <v>548</v>
      </c>
      <c r="B7">
        <v>326</v>
      </c>
      <c r="C7" s="3">
        <f t="shared" si="0"/>
        <v>195</v>
      </c>
    </row>
    <row r="8" spans="1:3" x14ac:dyDescent="0.3">
      <c r="A8" s="1">
        <v>500</v>
      </c>
      <c r="B8">
        <v>92</v>
      </c>
      <c r="C8" s="3">
        <f t="shared" si="0"/>
        <v>243</v>
      </c>
    </row>
    <row r="9" spans="1:3" x14ac:dyDescent="0.3">
      <c r="A9" s="1">
        <v>450</v>
      </c>
      <c r="B9">
        <v>31</v>
      </c>
      <c r="C9" s="3">
        <f t="shared" si="0"/>
        <v>293</v>
      </c>
    </row>
    <row r="10" spans="1:3" x14ac:dyDescent="0.3">
      <c r="A10" s="1">
        <v>400</v>
      </c>
      <c r="B10">
        <v>3</v>
      </c>
      <c r="C10" s="3">
        <f t="shared" si="0"/>
        <v>343</v>
      </c>
    </row>
    <row r="11" spans="1:3" x14ac:dyDescent="0.3">
      <c r="A11" s="1">
        <v>350</v>
      </c>
      <c r="B11">
        <v>3</v>
      </c>
      <c r="C11" s="3">
        <f t="shared" si="0"/>
        <v>393</v>
      </c>
    </row>
    <row r="12" spans="1:3" x14ac:dyDescent="0.3">
      <c r="A12" s="1">
        <v>300</v>
      </c>
      <c r="B12">
        <v>4</v>
      </c>
      <c r="C12" s="3">
        <f t="shared" si="0"/>
        <v>443</v>
      </c>
    </row>
    <row r="13" spans="1:3" x14ac:dyDescent="0.3">
      <c r="A13" s="1">
        <v>200</v>
      </c>
      <c r="B13">
        <v>6</v>
      </c>
      <c r="C13" s="3">
        <f t="shared" si="0"/>
        <v>543</v>
      </c>
    </row>
    <row r="14" spans="1:3" x14ac:dyDescent="0.3">
      <c r="A14" s="1">
        <v>150</v>
      </c>
      <c r="B14">
        <v>4</v>
      </c>
      <c r="C14" s="3">
        <f t="shared" si="0"/>
        <v>593</v>
      </c>
    </row>
    <row r="15" spans="1:3" x14ac:dyDescent="0.3">
      <c r="A15" s="1">
        <v>50</v>
      </c>
      <c r="B15">
        <v>2</v>
      </c>
      <c r="C15" s="3">
        <f t="shared" si="0"/>
        <v>693</v>
      </c>
    </row>
    <row r="16" spans="1:3" x14ac:dyDescent="0.3">
      <c r="A16" s="1">
        <v>0</v>
      </c>
      <c r="B16">
        <v>1</v>
      </c>
      <c r="C16" s="3">
        <f t="shared" si="0"/>
        <v>743</v>
      </c>
    </row>
    <row r="21" spans="1:2" x14ac:dyDescent="0.3">
      <c r="A21">
        <v>700</v>
      </c>
      <c r="B21">
        <v>2708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6B78-4545-424F-8C33-3C17C8DBC1BD}">
  <dimension ref="A1:C28"/>
  <sheetViews>
    <sheetView tabSelected="1" workbookViewId="0">
      <selection activeCell="A27" sqref="A27"/>
    </sheetView>
  </sheetViews>
  <sheetFormatPr defaultRowHeight="14.4" x14ac:dyDescent="0.3"/>
  <cols>
    <col min="1" max="1" width="10.33203125" customWidth="1"/>
  </cols>
  <sheetData>
    <row r="1" spans="1:3" ht="16.8" customHeight="1" x14ac:dyDescent="0.3">
      <c r="A1" s="1" t="s">
        <v>4</v>
      </c>
      <c r="B1" t="s">
        <v>5</v>
      </c>
      <c r="C1" s="1" t="s">
        <v>10</v>
      </c>
    </row>
    <row r="2" spans="1:3" x14ac:dyDescent="0.3">
      <c r="A2" s="1">
        <v>735</v>
      </c>
      <c r="B2">
        <v>4</v>
      </c>
      <c r="C2">
        <f t="shared" ref="C2:C24" si="0">743-A2</f>
        <v>8</v>
      </c>
    </row>
    <row r="3" spans="1:3" x14ac:dyDescent="0.3">
      <c r="A3" s="1">
        <v>735</v>
      </c>
      <c r="B3">
        <v>5</v>
      </c>
      <c r="C3">
        <f t="shared" si="0"/>
        <v>8</v>
      </c>
    </row>
    <row r="4" spans="1:3" x14ac:dyDescent="0.3">
      <c r="A4" s="1">
        <v>715</v>
      </c>
      <c r="B4">
        <v>23</v>
      </c>
      <c r="C4">
        <f t="shared" si="0"/>
        <v>28</v>
      </c>
    </row>
    <row r="5" spans="1:3" x14ac:dyDescent="0.3">
      <c r="A5" s="1">
        <v>705</v>
      </c>
      <c r="B5">
        <v>36</v>
      </c>
      <c r="C5">
        <f t="shared" si="0"/>
        <v>38</v>
      </c>
    </row>
    <row r="6" spans="1:3" x14ac:dyDescent="0.3">
      <c r="A6" s="1">
        <v>653</v>
      </c>
      <c r="B6">
        <v>90</v>
      </c>
      <c r="C6">
        <f t="shared" si="0"/>
        <v>90</v>
      </c>
    </row>
    <row r="7" spans="1:3" x14ac:dyDescent="0.3">
      <c r="A7" s="1">
        <v>652</v>
      </c>
      <c r="B7">
        <v>90</v>
      </c>
      <c r="C7">
        <f t="shared" si="0"/>
        <v>91</v>
      </c>
    </row>
    <row r="8" spans="1:3" x14ac:dyDescent="0.3">
      <c r="A8" s="4">
        <v>625</v>
      </c>
      <c r="B8">
        <v>120</v>
      </c>
      <c r="C8">
        <f t="shared" si="0"/>
        <v>118</v>
      </c>
    </row>
    <row r="9" spans="1:3" x14ac:dyDescent="0.3">
      <c r="A9" s="4">
        <v>600</v>
      </c>
      <c r="B9">
        <v>148</v>
      </c>
      <c r="C9">
        <f t="shared" si="0"/>
        <v>143</v>
      </c>
    </row>
    <row r="10" spans="1:3" x14ac:dyDescent="0.3">
      <c r="A10" s="4">
        <v>575</v>
      </c>
      <c r="B10">
        <v>168</v>
      </c>
      <c r="C10">
        <f t="shared" si="0"/>
        <v>168</v>
      </c>
    </row>
    <row r="11" spans="1:3" x14ac:dyDescent="0.3">
      <c r="A11" s="4">
        <v>550</v>
      </c>
      <c r="B11">
        <v>206</v>
      </c>
      <c r="C11">
        <f t="shared" si="0"/>
        <v>193</v>
      </c>
    </row>
    <row r="12" spans="1:3" x14ac:dyDescent="0.3">
      <c r="A12" s="4">
        <v>500</v>
      </c>
      <c r="B12">
        <v>265</v>
      </c>
      <c r="C12">
        <f t="shared" si="0"/>
        <v>243</v>
      </c>
    </row>
    <row r="13" spans="1:3" x14ac:dyDescent="0.3">
      <c r="A13" s="4">
        <v>475</v>
      </c>
      <c r="B13">
        <v>295</v>
      </c>
      <c r="C13">
        <f t="shared" si="0"/>
        <v>268</v>
      </c>
    </row>
    <row r="14" spans="1:3" x14ac:dyDescent="0.3">
      <c r="A14" s="4">
        <v>450</v>
      </c>
      <c r="B14">
        <v>321</v>
      </c>
      <c r="C14">
        <f t="shared" si="0"/>
        <v>293</v>
      </c>
    </row>
    <row r="15" spans="1:3" x14ac:dyDescent="0.3">
      <c r="A15" s="4">
        <v>400</v>
      </c>
      <c r="B15">
        <v>390</v>
      </c>
      <c r="C15">
        <f t="shared" si="0"/>
        <v>343</v>
      </c>
    </row>
    <row r="16" spans="1:3" x14ac:dyDescent="0.3">
      <c r="A16" s="4">
        <v>355</v>
      </c>
      <c r="B16">
        <v>455</v>
      </c>
      <c r="C16">
        <f t="shared" si="0"/>
        <v>388</v>
      </c>
    </row>
    <row r="17" spans="1:3" x14ac:dyDescent="0.3">
      <c r="A17" s="4">
        <v>322</v>
      </c>
      <c r="B17">
        <v>497</v>
      </c>
      <c r="C17">
        <f t="shared" si="0"/>
        <v>421</v>
      </c>
    </row>
    <row r="18" spans="1:3" x14ac:dyDescent="0.3">
      <c r="A18" s="4">
        <v>265</v>
      </c>
      <c r="B18">
        <v>580</v>
      </c>
      <c r="C18">
        <f t="shared" si="0"/>
        <v>478</v>
      </c>
    </row>
    <row r="19" spans="1:3" x14ac:dyDescent="0.3">
      <c r="A19" s="4">
        <v>200</v>
      </c>
      <c r="B19">
        <v>640</v>
      </c>
      <c r="C19">
        <f t="shared" si="0"/>
        <v>543</v>
      </c>
    </row>
    <row r="20" spans="1:3" x14ac:dyDescent="0.3">
      <c r="A20" s="4">
        <v>200</v>
      </c>
      <c r="B20">
        <v>640</v>
      </c>
      <c r="C20">
        <f t="shared" si="0"/>
        <v>543</v>
      </c>
    </row>
    <row r="21" spans="1:3" x14ac:dyDescent="0.3">
      <c r="A21" s="4">
        <v>150</v>
      </c>
      <c r="B21">
        <v>640</v>
      </c>
      <c r="C21">
        <f t="shared" si="0"/>
        <v>593</v>
      </c>
    </row>
    <row r="22" spans="1:3" x14ac:dyDescent="0.3">
      <c r="A22" s="4">
        <v>105</v>
      </c>
      <c r="B22">
        <v>632</v>
      </c>
      <c r="C22">
        <f t="shared" si="0"/>
        <v>638</v>
      </c>
    </row>
    <row r="23" spans="1:3" x14ac:dyDescent="0.3">
      <c r="A23" s="4">
        <v>55</v>
      </c>
      <c r="B23">
        <v>625</v>
      </c>
      <c r="C23">
        <f t="shared" si="0"/>
        <v>688</v>
      </c>
    </row>
    <row r="24" spans="1:3" x14ac:dyDescent="0.3">
      <c r="A24" s="1">
        <v>0</v>
      </c>
      <c r="B24">
        <v>620</v>
      </c>
      <c r="C24">
        <f t="shared" si="0"/>
        <v>743</v>
      </c>
    </row>
    <row r="27" spans="1:3" ht="39.6" x14ac:dyDescent="0.3">
      <c r="A27" s="1" t="s">
        <v>6</v>
      </c>
      <c r="B27" t="s">
        <v>8</v>
      </c>
    </row>
    <row r="28" spans="1:3" ht="39.6" x14ac:dyDescent="0.3">
      <c r="A28" s="1" t="s">
        <v>7</v>
      </c>
    </row>
  </sheetData>
  <sortState xmlns:xlrd2="http://schemas.microsoft.com/office/spreadsheetml/2017/richdata2" ref="A2:C24">
    <sortCondition ref="C2:C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Лист4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2026-09-03T09:31:29Z</dcterms:created>
  <dcterms:modified xsi:type="dcterms:W3CDTF">2026-09-06T00:41:06Z</dcterms:modified>
</cp:coreProperties>
</file>