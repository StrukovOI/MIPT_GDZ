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1 4 1\"/>
    </mc:Choice>
  </mc:AlternateContent>
  <xr:revisionPtr revIDLastSave="0" documentId="13_ncr:1_{9F6F4A41-F7B7-463B-9502-092673315574}" xr6:coauthVersionLast="47" xr6:coauthVersionMax="47" xr10:uidLastSave="{00000000-0000-0000-0000-000000000000}"/>
  <bookViews>
    <workbookView xWindow="11424" yWindow="0" windowWidth="11712" windowHeight="13776" activeTab="2" xr2:uid="{FE1122EF-4411-43CA-B53A-77A0B740D252}"/>
  </bookViews>
  <sheets>
    <sheet name="Лист1" sheetId="1" r:id="rId1"/>
    <sheet name="Первое измерение" sheetId="2" r:id="rId2"/>
    <sheet name="Общая таблиц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" i="3" l="1" a="1"/>
  <c r="AF2" i="3" s="1"/>
  <c r="AE2" i="3"/>
  <c r="AB5" i="3"/>
  <c r="Z5" i="3"/>
  <c r="Z6" i="3"/>
  <c r="AB6" i="3" s="1"/>
  <c r="Z7" i="3"/>
  <c r="AB7" i="3" s="1"/>
  <c r="Z8" i="3"/>
  <c r="AB8" i="3" s="1"/>
  <c r="Z9" i="3"/>
  <c r="AB9" i="3" s="1"/>
  <c r="Z10" i="3"/>
  <c r="AB10" i="3" s="1"/>
  <c r="H4" i="3"/>
  <c r="Y4" i="3" s="1"/>
  <c r="AC4" i="3" s="1"/>
  <c r="D18" i="3"/>
  <c r="D19" i="3"/>
  <c r="D20" i="3"/>
  <c r="D21" i="3"/>
  <c r="D22" i="3"/>
  <c r="D23" i="3"/>
  <c r="C20" i="3"/>
  <c r="C21" i="3"/>
  <c r="C22" i="3"/>
  <c r="C23" i="3"/>
  <c r="C24" i="3"/>
  <c r="C25" i="3"/>
  <c r="C26" i="3"/>
  <c r="C27" i="3"/>
  <c r="C17" i="3"/>
  <c r="D3" i="3"/>
  <c r="D4" i="3"/>
  <c r="D5" i="3"/>
  <c r="D6" i="3"/>
  <c r="Y6" i="3" s="1"/>
  <c r="AC6" i="3" s="1"/>
  <c r="D7" i="3"/>
  <c r="D8" i="3"/>
  <c r="D9" i="3"/>
  <c r="D24" i="3" s="1"/>
  <c r="D10" i="3"/>
  <c r="D25" i="3" s="1"/>
  <c r="D11" i="3"/>
  <c r="Y11" i="3" s="1"/>
  <c r="AC11" i="3" s="1"/>
  <c r="D12" i="3"/>
  <c r="D27" i="3" s="1"/>
  <c r="D2" i="3"/>
  <c r="Y2" i="3" s="1"/>
  <c r="AC2" i="3" s="1"/>
  <c r="C3" i="3"/>
  <c r="Q3" i="3" s="1"/>
  <c r="R3" i="3" s="1"/>
  <c r="C4" i="3"/>
  <c r="Q4" i="3" s="1"/>
  <c r="R4" i="3" s="1"/>
  <c r="C5" i="3"/>
  <c r="C6" i="3"/>
  <c r="C7" i="3"/>
  <c r="C8" i="3"/>
  <c r="Q8" i="3" s="1"/>
  <c r="C9" i="3"/>
  <c r="Q9" i="3" s="1"/>
  <c r="C10" i="3"/>
  <c r="C11" i="3"/>
  <c r="Z11" i="3" s="1"/>
  <c r="AB11" i="3" s="1"/>
  <c r="C12" i="3"/>
  <c r="Z12" i="3" s="1"/>
  <c r="AB12" i="3" s="1"/>
  <c r="C2" i="3"/>
  <c r="Z2" i="3" s="1"/>
  <c r="AB2" i="3" s="1"/>
  <c r="E4" i="2"/>
  <c r="E6" i="2"/>
  <c r="E3" i="2"/>
  <c r="D10" i="2"/>
  <c r="D7" i="2"/>
  <c r="D8" i="2"/>
  <c r="D9" i="2"/>
  <c r="D6" i="2"/>
  <c r="M11" i="3"/>
  <c r="K3" i="3"/>
  <c r="K4" i="3"/>
  <c r="K5" i="3"/>
  <c r="K6" i="3"/>
  <c r="K7" i="3"/>
  <c r="K8" i="3"/>
  <c r="K9" i="3"/>
  <c r="K10" i="3"/>
  <c r="K11" i="3"/>
  <c r="K12" i="3"/>
  <c r="K2" i="3"/>
  <c r="I12" i="3"/>
  <c r="I3" i="3"/>
  <c r="I4" i="3"/>
  <c r="I5" i="3"/>
  <c r="I6" i="3"/>
  <c r="I7" i="3"/>
  <c r="I8" i="3"/>
  <c r="I9" i="3"/>
  <c r="I10" i="3"/>
  <c r="I11" i="3"/>
  <c r="I2" i="3"/>
  <c r="J4" i="3"/>
  <c r="J2" i="3"/>
  <c r="H11" i="3"/>
  <c r="J11" i="3" s="1"/>
  <c r="H8" i="3"/>
  <c r="J8" i="3" s="1"/>
  <c r="H3" i="3"/>
  <c r="J3" i="3" s="1"/>
  <c r="H5" i="3"/>
  <c r="J5" i="3" s="1"/>
  <c r="H7" i="3"/>
  <c r="J7" i="3" s="1"/>
  <c r="H9" i="3"/>
  <c r="J9" i="3" s="1"/>
  <c r="H10" i="3"/>
  <c r="H12" i="3"/>
  <c r="H6" i="3"/>
  <c r="J6" i="3" s="1"/>
  <c r="R9" i="3" l="1"/>
  <c r="R8" i="3"/>
  <c r="Y9" i="3"/>
  <c r="AC9" i="3" s="1"/>
  <c r="Z4" i="3"/>
  <c r="AB4" i="3" s="1"/>
  <c r="Y8" i="3"/>
  <c r="AC8" i="3" s="1"/>
  <c r="Z3" i="3"/>
  <c r="AB3" i="3" s="1"/>
  <c r="Y10" i="3"/>
  <c r="AC10" i="3" s="1"/>
  <c r="Y7" i="3"/>
  <c r="AC7" i="3" s="1"/>
  <c r="Y12" i="3"/>
  <c r="AC12" i="3" s="1"/>
  <c r="C18" i="3"/>
  <c r="Y3" i="3"/>
  <c r="AC3" i="3" s="1"/>
  <c r="Q7" i="3"/>
  <c r="Q2" i="3"/>
  <c r="S9" i="3" s="1"/>
  <c r="D26" i="3"/>
  <c r="C19" i="3"/>
  <c r="Y5" i="3"/>
  <c r="AC5" i="3" s="1"/>
  <c r="D17" i="3"/>
  <c r="Q12" i="3"/>
  <c r="Q6" i="3"/>
  <c r="Q10" i="3"/>
  <c r="Q5" i="3"/>
  <c r="S8" i="3" s="1"/>
  <c r="Q11" i="3"/>
  <c r="J12" i="3"/>
  <c r="J10" i="3"/>
  <c r="G4" i="2"/>
  <c r="R6" i="3" l="1"/>
  <c r="S6" i="3"/>
  <c r="R11" i="3"/>
  <c r="S11" i="3"/>
  <c r="R7" i="3"/>
  <c r="S7" i="3"/>
  <c r="S3" i="3"/>
  <c r="R10" i="3"/>
  <c r="S10" i="3"/>
  <c r="R12" i="3"/>
  <c r="S12" i="3"/>
  <c r="R5" i="3"/>
  <c r="S5" i="3"/>
  <c r="S4" i="3"/>
  <c r="R2" i="3"/>
  <c r="S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<sst xmlns="http://schemas.openxmlformats.org/spreadsheetml/2006/main" count="41" uniqueCount="37">
  <si>
    <t>Длина маятника</t>
  </si>
  <si>
    <t>100,2 см</t>
  </si>
  <si>
    <t>Необходимая точность 0,05%</t>
  </si>
  <si>
    <t>47 см</t>
  </si>
  <si>
    <t>Смещение относительно цм стержня</t>
  </si>
  <si>
    <t>расстояние между цм</t>
  </si>
  <si>
    <t>3,7 см</t>
  </si>
  <si>
    <t>Номер</t>
  </si>
  <si>
    <t>n</t>
  </si>
  <si>
    <t>общее время</t>
  </si>
  <si>
    <t>период</t>
  </si>
  <si>
    <t>масса стержня</t>
  </si>
  <si>
    <t>масса призмы</t>
  </si>
  <si>
    <t>870,7  г</t>
  </si>
  <si>
    <t>72,3 г</t>
  </si>
  <si>
    <t>погрешность</t>
  </si>
  <si>
    <t>0,1 г</t>
  </si>
  <si>
    <t>l</t>
  </si>
  <si>
    <t>период математического маятника</t>
  </si>
  <si>
    <t>при l=60 см</t>
  </si>
  <si>
    <t>при l=81,5 см</t>
  </si>
  <si>
    <t>погрешность измерения времени</t>
  </si>
  <si>
    <t>общая погрешность</t>
  </si>
  <si>
    <t>epsilon</t>
  </si>
  <si>
    <t>а</t>
  </si>
  <si>
    <t>х</t>
  </si>
  <si>
    <t>g</t>
  </si>
  <si>
    <t>смещ. призмы отн. края</t>
  </si>
  <si>
    <t>T</t>
  </si>
  <si>
    <t>t</t>
  </si>
  <si>
    <t>смещ. цм</t>
  </si>
  <si>
    <t>T^2 X</t>
  </si>
  <si>
    <t>a^2</t>
  </si>
  <si>
    <t>y^2</t>
  </si>
  <si>
    <t>x^2</t>
  </si>
  <si>
    <t>sigma k</t>
  </si>
  <si>
    <t>sigma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</si>
</sst>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'Общая таблица'!$I$2:$I$12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'Общая таблица'!$J$2:$J$12</c:f>
              <c:numCache>
                <c:formatCode>General</c:formatCode>
                <c:ptCount val="11"/>
                <c:pt idx="0">
                  <c:v>1.62</c:v>
                </c:pt>
                <c:pt idx="1">
                  <c:v>1.5916669999999999</c:v>
                </c:pt>
                <c:pt idx="2">
                  <c:v>1.5667</c:v>
                </c:pt>
                <c:pt idx="3">
                  <c:v>1.54667</c:v>
                </c:pt>
                <c:pt idx="4">
                  <c:v>1.5333000000000001</c:v>
                </c:pt>
                <c:pt idx="5">
                  <c:v>1.53</c:v>
                </c:pt>
                <c:pt idx="6">
                  <c:v>1.55667</c:v>
                </c:pt>
                <c:pt idx="7">
                  <c:v>1.59667</c:v>
                </c:pt>
                <c:pt idx="8">
                  <c:v>1.8233329999999999</c:v>
                </c:pt>
                <c:pt idx="9">
                  <c:v>1.95</c:v>
                </c:pt>
                <c:pt idx="10">
                  <c:v>2.6332999999999998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E9-41F6-874A-E512DD8C6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83968"/>
        <c:axId val="118482048"/>
      </c:scatterChart>
      <c:valAx>
        <c:axId val="11848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482048"/>
        <c:crosses val="autoZero"/>
        <c:crossBetween val="midCat"/>
      </c:valAx>
      <c:valAx>
        <c:axId val="1184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48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'Общая таблица'!$U$2:$U$12</c:f>
              <c:numCache>
                <c:formatCode>General</c:formatCode>
                <c:ptCount val="11"/>
                <c:pt idx="0">
                  <c:v>47</c:v>
                </c:pt>
                <c:pt idx="1">
                  <c:v>44</c:v>
                </c:pt>
                <c:pt idx="2">
                  <c:v>40</c:v>
                </c:pt>
                <c:pt idx="3">
                  <c:v>36</c:v>
                </c:pt>
                <c:pt idx="4">
                  <c:v>33</c:v>
                </c:pt>
                <c:pt idx="5">
                  <c:v>26</c:v>
                </c:pt>
                <c:pt idx="6">
                  <c:v>22</c:v>
                </c:pt>
                <c:pt idx="7">
                  <c:v>19</c:v>
                </c:pt>
                <c:pt idx="8">
                  <c:v>12</c:v>
                </c:pt>
                <c:pt idx="9">
                  <c:v>10</c:v>
                </c:pt>
                <c:pt idx="10">
                  <c:v>5</c:v>
                </c:pt>
              </c:numCache>
            </c:numRef>
          </c:xVal>
          <c:yVal>
            <c:numRef>
              <c:f>'Общая таблица'!$V$2:$V$12</c:f>
              <c:numCache>
                <c:formatCode>General</c:formatCode>
                <c:ptCount val="11"/>
                <c:pt idx="0">
                  <c:v>1.62</c:v>
                </c:pt>
                <c:pt idx="1">
                  <c:v>1.5916669999999999</c:v>
                </c:pt>
                <c:pt idx="2">
                  <c:v>1.5667</c:v>
                </c:pt>
                <c:pt idx="3">
                  <c:v>1.54667</c:v>
                </c:pt>
                <c:pt idx="4">
                  <c:v>1.5333000000000001</c:v>
                </c:pt>
                <c:pt idx="5">
                  <c:v>1.53</c:v>
                </c:pt>
                <c:pt idx="6">
                  <c:v>1.55667</c:v>
                </c:pt>
                <c:pt idx="7">
                  <c:v>1.59667</c:v>
                </c:pt>
                <c:pt idx="8">
                  <c:v>1.8233329999999999</c:v>
                </c:pt>
                <c:pt idx="9">
                  <c:v>1.95</c:v>
                </c:pt>
                <c:pt idx="10">
                  <c:v>2.6332999999999998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B2-4BFE-B8E5-F085BCA78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684720"/>
        <c:axId val="1221681360"/>
      </c:scatterChart>
      <c:valAx>
        <c:axId val="122168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1681360"/>
        <c:crosses val="autoZero"/>
        <c:crossBetween val="midCat"/>
      </c:valAx>
      <c:valAx>
        <c:axId val="12216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168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388620</xdr:colOff>
      <xdr:row>20</xdr:row>
      <xdr:rowOff>95250</xdr:rowOff>
    </xdr:from>
    <xdr:to>
      <xdr:col>16</xdr:col>
      <xdr:colOff>335280</xdr:colOff>
      <xdr:row>35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54384EE-BBCF-AD44-6A25-7FA2192EF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129540</xdr:colOff>
      <xdr:row>13</xdr:row>
      <xdr:rowOff>148590</xdr:rowOff>
    </xdr:from>
    <xdr:to>
      <xdr:col>23</xdr:col>
      <xdr:colOff>434340</xdr:colOff>
      <xdr:row>28</xdr:row>
      <xdr:rowOff>148590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1DAF4C-66D0-B0A3-7A2A-861EDADBC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6EA4-4723-4FA9-92B7-2BC8843E25A8}">
  <dimension ref="A1:H4"/>
  <sheetViews>
    <sheetView workbookViewId="0">
      <selection activeCell="H2" sqref="H2"/>
    </sheetView>
  </sheetViews>
  <sheetFormatPr defaultRowHeight="14.4" x14ac:dyDescent="0.3"/>
  <sheetData>
    <row r="1" spans="1:8" x14ac:dyDescent="0.3">
      <c r="A1" t="s">
        <v>0</v>
      </c>
      <c r="D1" t="s">
        <v>11</v>
      </c>
      <c r="F1" t="s">
        <v>12</v>
      </c>
      <c r="H1" t="s">
        <v>15</v>
      </c>
    </row>
    <row r="2" spans="1:8" x14ac:dyDescent="0.3">
      <c r="A2" t="s">
        <v>1</v>
      </c>
      <c r="D2" t="s">
        <v>13</v>
      </c>
      <c r="F2" t="s">
        <v>14</v>
      </c>
      <c r="H2" t="s">
        <v>16</v>
      </c>
    </row>
    <row r="4" spans="1:8" x14ac:dyDescent="0.3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5195-E461-4519-A8F7-4C1769A49CEB}">
  <dimension ref="A1:G10"/>
  <sheetViews>
    <sheetView workbookViewId="0">
      <selection activeCell="F6" sqref="F6"/>
    </sheetView>
  </sheetViews>
  <sheetFormatPr defaultRowHeight="14.4" x14ac:dyDescent="0.3"/>
  <cols>
    <col min="4" max="4" width="12" bestFit="1" customWidth="1"/>
  </cols>
  <sheetData>
    <row r="1" spans="1:7" x14ac:dyDescent="0.3">
      <c r="A1" t="s">
        <v>4</v>
      </c>
      <c r="E1" t="s">
        <v>3</v>
      </c>
    </row>
    <row r="2" spans="1:7" x14ac:dyDescent="0.3">
      <c r="A2" t="s">
        <v>5</v>
      </c>
      <c r="E2" t="s">
        <v>6</v>
      </c>
      <c r="G2" t="s">
        <v>23</v>
      </c>
    </row>
    <row r="3" spans="1:7" x14ac:dyDescent="0.3">
      <c r="A3" t="s">
        <v>21</v>
      </c>
      <c r="E3">
        <f>1/15</f>
        <v>6.6666666666666666E-2</v>
      </c>
      <c r="G3" s="1">
        <v>4.5999999999999999E-3</v>
      </c>
    </row>
    <row r="4" spans="1:7" x14ac:dyDescent="0.3">
      <c r="A4" t="s">
        <v>22</v>
      </c>
      <c r="E4">
        <f>SQRT((E3/10)^2+E6^2)</f>
        <v>7.7624296740418106E-3</v>
      </c>
      <c r="G4">
        <f>E4*100/AVERAGE(B6:B10)</f>
        <v>0.48028239153048352</v>
      </c>
    </row>
    <row r="6" spans="1:7" x14ac:dyDescent="0.3">
      <c r="A6">
        <v>1</v>
      </c>
      <c r="B6">
        <v>1.61111</v>
      </c>
      <c r="D6">
        <f>(B6-AVERAGE(B$6:B$10))^2</f>
        <v>2.6132543999997785E-5</v>
      </c>
      <c r="E6">
        <f>SQRT(SUM(D6:D10)/4)</f>
        <v>3.9762884704206769E-3</v>
      </c>
    </row>
    <row r="7" spans="1:7" x14ac:dyDescent="0.3">
      <c r="A7">
        <v>2</v>
      </c>
      <c r="B7">
        <v>1.62</v>
      </c>
      <c r="D7">
        <f t="shared" ref="D7:D9" si="0">(B7-AVERAGE(B$6:B$10))^2</f>
        <v>1.4273284000002125E-5</v>
      </c>
    </row>
    <row r="8" spans="1:7" x14ac:dyDescent="0.3">
      <c r="A8">
        <v>3</v>
      </c>
      <c r="B8">
        <v>1.62</v>
      </c>
      <c r="D8">
        <f t="shared" si="0"/>
        <v>1.4273284000002125E-5</v>
      </c>
    </row>
    <row r="9" spans="1:7" x14ac:dyDescent="0.3">
      <c r="A9">
        <v>4</v>
      </c>
      <c r="B9">
        <v>1.6133299999999999</v>
      </c>
      <c r="D9">
        <f t="shared" si="0"/>
        <v>8.3636639999993909E-6</v>
      </c>
    </row>
    <row r="10" spans="1:7" x14ac:dyDescent="0.3">
      <c r="A10">
        <v>5</v>
      </c>
      <c r="B10">
        <v>1.6166700000000001</v>
      </c>
      <c r="D10">
        <f>(B10-AVERAGE(B$6:B$10))^2</f>
        <v>2.0070400000020249E-7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2C31-95AF-441D-A7F6-D4DBE022F44F}">
  <dimension ref="A1:AF27"/>
  <sheetViews>
    <sheetView tabSelected="1" topLeftCell="U1" workbookViewId="0">
      <selection activeCell="AG18" sqref="AG18"/>
    </sheetView>
  </sheetViews>
  <sheetFormatPr defaultRowHeight="14.4" x14ac:dyDescent="0.3"/>
  <cols>
    <col min="2" max="2" width="9" customWidth="1"/>
    <col min="5" max="5" width="9.88671875" customWidth="1"/>
    <col min="7" max="7" width="11.5546875" customWidth="1"/>
  </cols>
  <sheetData>
    <row r="1" spans="1:32" x14ac:dyDescent="0.3">
      <c r="A1" t="s">
        <v>7</v>
      </c>
      <c r="B1" t="s">
        <v>30</v>
      </c>
      <c r="C1" t="s">
        <v>24</v>
      </c>
      <c r="D1" t="s">
        <v>25</v>
      </c>
      <c r="E1" t="s">
        <v>27</v>
      </c>
      <c r="F1" t="s">
        <v>8</v>
      </c>
      <c r="G1" t="s">
        <v>9</v>
      </c>
      <c r="H1" t="s">
        <v>10</v>
      </c>
      <c r="K1" t="s">
        <v>17</v>
      </c>
      <c r="Q1" t="s">
        <v>26</v>
      </c>
      <c r="Y1" t="s">
        <v>31</v>
      </c>
      <c r="Z1" t="s">
        <v>32</v>
      </c>
      <c r="AB1" t="s">
        <v>33</v>
      </c>
      <c r="AC1" t="s">
        <v>34</v>
      </c>
      <c r="AE1" t="s">
        <v>35</v>
      </c>
      <c r="AF1" t="s">
        <v>36</v>
      </c>
    </row>
    <row r="2" spans="1:32" x14ac:dyDescent="0.3">
      <c r="A2">
        <v>1</v>
      </c>
      <c r="B2">
        <v>3.7</v>
      </c>
      <c r="C2">
        <f>50-E2</f>
        <v>47</v>
      </c>
      <c r="D2">
        <f>50-B2-E2</f>
        <v>43.3</v>
      </c>
      <c r="E2">
        <v>3</v>
      </c>
      <c r="F2">
        <v>10</v>
      </c>
      <c r="G2">
        <v>16.2</v>
      </c>
      <c r="H2">
        <v>1.62</v>
      </c>
      <c r="I2">
        <f t="shared" ref="I2:I11" si="0">A2</f>
        <v>1</v>
      </c>
      <c r="J2">
        <f>H2</f>
        <v>1.62</v>
      </c>
      <c r="K2">
        <f>(50-E2)+100.2^2/(12*(50-E2))</f>
        <v>64.801489361702124</v>
      </c>
      <c r="Q2">
        <f>4*3.1415^2*(1.002^2/12+C2^2/10000)/H2^2/D2*100/(1+723/8707)</f>
        <v>9.7691300523179034</v>
      </c>
      <c r="R2">
        <f>9.81-Q2</f>
        <v>4.0869947682097063E-2</v>
      </c>
      <c r="S2">
        <f>(Q2-AVERAGE(Q$2:Q$12))^2</f>
        <v>1.5457435967236709E-3</v>
      </c>
      <c r="U2">
        <v>47</v>
      </c>
      <c r="V2">
        <v>1.62</v>
      </c>
      <c r="Y2">
        <f>H2^2*D2/100</f>
        <v>1.1363652000000002</v>
      </c>
      <c r="Z2">
        <f>C2^2/10000</f>
        <v>0.22090000000000001</v>
      </c>
      <c r="AB2">
        <f>Z2^2</f>
        <v>4.8796810000000003E-2</v>
      </c>
      <c r="AC2">
        <f>Y2^2</f>
        <v>1.2913258677710404</v>
      </c>
      <c r="AE2">
        <f>1/SQRT(11)*SQRT((AVERAGE(AB2:AB12)-AVERAGE(Z2:Z12)^2)/(AVERAGE(AC2:AC12)-AVERAGE(Y2:Y12)^2)-0.0834245^2)</f>
        <v>7.7017876887436706E-2</v>
      </c>
      <c r="AF2" cm="1">
        <f t="array" ref="AF2:AF12">AE2*SQRT(AC2:AC12-AVERAGE(Y2:Y12)^2)</f>
        <v>7.1999051998965113E-2</v>
      </c>
    </row>
    <row r="3" spans="1:32" x14ac:dyDescent="0.3">
      <c r="A3">
        <v>2</v>
      </c>
      <c r="B3">
        <v>3.4</v>
      </c>
      <c r="C3">
        <f t="shared" ref="C3:C12" si="1">50-E3</f>
        <v>44</v>
      </c>
      <c r="D3">
        <f t="shared" ref="D3:D12" si="2">50-B3-E3</f>
        <v>40.6</v>
      </c>
      <c r="E3">
        <v>6</v>
      </c>
      <c r="F3">
        <v>10</v>
      </c>
      <c r="G3">
        <v>15.91667</v>
      </c>
      <c r="H3">
        <f t="shared" ref="H3" si="3">G3/F3</f>
        <v>1.5916669999999999</v>
      </c>
      <c r="I3">
        <f t="shared" si="0"/>
        <v>2</v>
      </c>
      <c r="J3">
        <f t="shared" ref="J3:J12" si="4">H3</f>
        <v>1.5916669999999999</v>
      </c>
      <c r="K3">
        <f t="shared" ref="K3:K12" si="5">(50-E3)+100.2^2/(12*(50-E3))</f>
        <v>63.015227272727273</v>
      </c>
      <c r="Q3">
        <f t="shared" ref="Q3:Q11" si="6">4*3.1415^2*(1.002^2/12+C3^2/10000)/H3^2/D3*100/(1+723/8707)</f>
        <v>9.8255913271703363</v>
      </c>
      <c r="R3">
        <f t="shared" ref="R3:R12" si="7">9.81-Q3</f>
        <v>-1.5591327170335845E-2</v>
      </c>
      <c r="S3">
        <f t="shared" ref="S3:S12" si="8">(Q3-AVERAGE(Q$2:Q$12))^2</f>
        <v>2.9396230719320755E-4</v>
      </c>
      <c r="U3">
        <v>44</v>
      </c>
      <c r="V3">
        <v>1.5916669999999999</v>
      </c>
      <c r="Y3">
        <f t="shared" ref="Y3:Y12" si="9">H3^2*D3/100</f>
        <v>1.0285619585889341</v>
      </c>
      <c r="Z3">
        <f t="shared" ref="Z3:Z12" si="10">C3^2/10000</f>
        <v>0.19359999999999999</v>
      </c>
      <c r="AB3">
        <f t="shared" ref="AB3:AB12" si="11">Z3^2</f>
        <v>3.7480960000000001E-2</v>
      </c>
      <c r="AC3">
        <f t="shared" ref="AC3:AC12" si="12">Y3^2</f>
        <v>1.0579397026563042</v>
      </c>
      <c r="AF3">
        <v>6.1639876051099156E-2</v>
      </c>
    </row>
    <row r="4" spans="1:32" x14ac:dyDescent="0.3">
      <c r="A4">
        <v>3</v>
      </c>
      <c r="B4">
        <v>3.1</v>
      </c>
      <c r="C4">
        <f t="shared" si="1"/>
        <v>40</v>
      </c>
      <c r="D4">
        <f t="shared" si="2"/>
        <v>36.9</v>
      </c>
      <c r="E4">
        <v>10</v>
      </c>
      <c r="F4">
        <v>10</v>
      </c>
      <c r="G4">
        <v>15.667</v>
      </c>
      <c r="H4">
        <f>G4/10</f>
        <v>1.5667</v>
      </c>
      <c r="I4">
        <f t="shared" si="0"/>
        <v>3</v>
      </c>
      <c r="J4">
        <f t="shared" si="4"/>
        <v>1.5667</v>
      </c>
      <c r="K4">
        <f t="shared" si="5"/>
        <v>60.91675</v>
      </c>
      <c r="Q4">
        <f t="shared" si="6"/>
        <v>9.8059490972679431</v>
      </c>
      <c r="R4">
        <f t="shared" si="7"/>
        <v>4.0509027320574376E-3</v>
      </c>
      <c r="S4">
        <f t="shared" si="8"/>
        <v>6.2345140180759611E-6</v>
      </c>
      <c r="U4">
        <v>40</v>
      </c>
      <c r="V4">
        <v>1.5667</v>
      </c>
      <c r="Y4">
        <f t="shared" si="9"/>
        <v>0.90572854040999984</v>
      </c>
      <c r="Z4">
        <f t="shared" si="10"/>
        <v>0.16</v>
      </c>
      <c r="AB4">
        <f t="shared" si="11"/>
        <v>2.5600000000000001E-2</v>
      </c>
      <c r="AC4">
        <f t="shared" si="12"/>
        <v>0.82034418891322869</v>
      </c>
      <c r="AF4">
        <v>4.8888816027486744E-2</v>
      </c>
    </row>
    <row r="5" spans="1:32" x14ac:dyDescent="0.3">
      <c r="A5">
        <v>4</v>
      </c>
      <c r="B5">
        <v>2.9</v>
      </c>
      <c r="C5">
        <f t="shared" si="1"/>
        <v>36</v>
      </c>
      <c r="D5">
        <f t="shared" si="2"/>
        <v>33.1</v>
      </c>
      <c r="E5">
        <v>14</v>
      </c>
      <c r="F5">
        <v>10</v>
      </c>
      <c r="G5">
        <v>15.466699999999999</v>
      </c>
      <c r="H5">
        <f>G5/F5</f>
        <v>1.54667</v>
      </c>
      <c r="I5">
        <f t="shared" si="0"/>
        <v>4</v>
      </c>
      <c r="J5">
        <f t="shared" si="4"/>
        <v>1.54667</v>
      </c>
      <c r="K5">
        <f t="shared" si="5"/>
        <v>59.240833333333335</v>
      </c>
      <c r="Q5">
        <f t="shared" si="6"/>
        <v>9.8172830704975542</v>
      </c>
      <c r="R5">
        <f t="shared" si="7"/>
        <v>-7.283070497553723E-3</v>
      </c>
      <c r="S5">
        <f t="shared" si="8"/>
        <v>7.8093847664372328E-5</v>
      </c>
      <c r="U5">
        <v>36</v>
      </c>
      <c r="V5">
        <v>1.54667</v>
      </c>
      <c r="Y5">
        <f t="shared" si="9"/>
        <v>0.79181425742589995</v>
      </c>
      <c r="Z5">
        <f t="shared" si="10"/>
        <v>0.12959999999999999</v>
      </c>
      <c r="AB5">
        <f t="shared" si="11"/>
        <v>1.6796159999999997E-2</v>
      </c>
      <c r="AC5">
        <f t="shared" si="12"/>
        <v>0.6269698182629293</v>
      </c>
      <c r="AF5">
        <v>3.525715898478804E-2</v>
      </c>
    </row>
    <row r="6" spans="1:32" x14ac:dyDescent="0.3">
      <c r="A6">
        <v>5</v>
      </c>
      <c r="B6">
        <v>2.6</v>
      </c>
      <c r="C6">
        <f t="shared" si="1"/>
        <v>33</v>
      </c>
      <c r="D6">
        <f t="shared" si="2"/>
        <v>30.4</v>
      </c>
      <c r="E6">
        <v>17</v>
      </c>
      <c r="F6">
        <v>10</v>
      </c>
      <c r="G6">
        <v>15.333</v>
      </c>
      <c r="H6">
        <f>G6/F6</f>
        <v>1.5333000000000001</v>
      </c>
      <c r="I6">
        <f t="shared" si="0"/>
        <v>5</v>
      </c>
      <c r="J6">
        <f t="shared" si="4"/>
        <v>1.5333000000000001</v>
      </c>
      <c r="K6">
        <f t="shared" si="5"/>
        <v>58.353636363636369</v>
      </c>
      <c r="Q6">
        <f t="shared" si="6"/>
        <v>9.820757352214633</v>
      </c>
      <c r="R6">
        <f t="shared" si="7"/>
        <v>-1.0757352214632476E-2</v>
      </c>
      <c r="S6">
        <f t="shared" si="8"/>
        <v>1.5156943888868467E-4</v>
      </c>
      <c r="U6">
        <v>33</v>
      </c>
      <c r="V6">
        <v>1.5333000000000001</v>
      </c>
      <c r="Y6">
        <f t="shared" si="9"/>
        <v>0.71470670256000002</v>
      </c>
      <c r="Z6">
        <f t="shared" si="10"/>
        <v>0.1089</v>
      </c>
      <c r="AB6">
        <f t="shared" si="11"/>
        <v>1.1859209999999999E-2</v>
      </c>
      <c r="AC6">
        <f t="shared" si="12"/>
        <v>0.51080567068418836</v>
      </c>
      <c r="AF6">
        <v>2.3537420991647264E-2</v>
      </c>
    </row>
    <row r="7" spans="1:32" x14ac:dyDescent="0.3">
      <c r="A7">
        <v>6</v>
      </c>
      <c r="B7">
        <v>2.1</v>
      </c>
      <c r="C7">
        <f t="shared" si="1"/>
        <v>26</v>
      </c>
      <c r="D7">
        <f t="shared" si="2"/>
        <v>23.9</v>
      </c>
      <c r="E7">
        <v>24</v>
      </c>
      <c r="F7">
        <v>10</v>
      </c>
      <c r="G7">
        <v>15.3</v>
      </c>
      <c r="H7">
        <f t="shared" ref="H7:H12" si="13">G7/F7</f>
        <v>1.53</v>
      </c>
      <c r="I7">
        <f t="shared" si="0"/>
        <v>6</v>
      </c>
      <c r="J7">
        <f t="shared" si="4"/>
        <v>1.53</v>
      </c>
      <c r="K7">
        <f t="shared" si="5"/>
        <v>58.179615384615389</v>
      </c>
      <c r="Q7">
        <f t="shared" si="6"/>
        <v>9.8549494832711684</v>
      </c>
      <c r="R7">
        <f t="shared" si="7"/>
        <v>-4.4949483271167878E-2</v>
      </c>
      <c r="S7">
        <f t="shared" si="8"/>
        <v>2.1625741283540271E-3</v>
      </c>
      <c r="U7">
        <v>26</v>
      </c>
      <c r="V7">
        <v>1.53</v>
      </c>
      <c r="Y7">
        <f t="shared" si="9"/>
        <v>0.55947509999999989</v>
      </c>
      <c r="Z7">
        <f t="shared" si="10"/>
        <v>6.7599999999999993E-2</v>
      </c>
      <c r="AB7">
        <f t="shared" si="11"/>
        <v>4.5697599999999991E-3</v>
      </c>
      <c r="AC7">
        <f t="shared" si="12"/>
        <v>0.31301238752000987</v>
      </c>
      <c r="AF7" t="e">
        <v>#NUM!</v>
      </c>
    </row>
    <row r="8" spans="1:32" x14ac:dyDescent="0.3">
      <c r="A8">
        <v>7</v>
      </c>
      <c r="B8">
        <v>1.8</v>
      </c>
      <c r="C8">
        <f t="shared" si="1"/>
        <v>22</v>
      </c>
      <c r="D8">
        <f t="shared" si="2"/>
        <v>20.200000000000003</v>
      </c>
      <c r="E8">
        <v>28</v>
      </c>
      <c r="F8">
        <v>10</v>
      </c>
      <c r="G8">
        <v>15.566700000000001</v>
      </c>
      <c r="H8">
        <f t="shared" si="13"/>
        <v>1.55667</v>
      </c>
      <c r="I8">
        <f t="shared" si="0"/>
        <v>7</v>
      </c>
      <c r="J8">
        <f t="shared" si="4"/>
        <v>1.55667</v>
      </c>
      <c r="K8">
        <f t="shared" si="5"/>
        <v>60.030454545454546</v>
      </c>
      <c r="Q8">
        <f t="shared" si="6"/>
        <v>9.8342399972404646</v>
      </c>
      <c r="R8">
        <f t="shared" si="7"/>
        <v>-2.4239997240464106E-2</v>
      </c>
      <c r="S8">
        <f t="shared" si="8"/>
        <v>6.6533038904521954E-4</v>
      </c>
      <c r="U8">
        <v>22</v>
      </c>
      <c r="V8">
        <v>1.55667</v>
      </c>
      <c r="Y8">
        <f t="shared" si="9"/>
        <v>0.48949074075780002</v>
      </c>
      <c r="Z8">
        <f t="shared" si="10"/>
        <v>4.8399999999999999E-2</v>
      </c>
      <c r="AB8">
        <f t="shared" si="11"/>
        <v>2.34256E-3</v>
      </c>
      <c r="AC8">
        <f t="shared" si="12"/>
        <v>0.23960118528761978</v>
      </c>
      <c r="AF8" t="e">
        <v>#NUM!</v>
      </c>
    </row>
    <row r="9" spans="1:32" x14ac:dyDescent="0.3">
      <c r="A9">
        <v>8</v>
      </c>
      <c r="B9">
        <v>1.5</v>
      </c>
      <c r="C9">
        <f t="shared" si="1"/>
        <v>19</v>
      </c>
      <c r="D9">
        <f t="shared" si="2"/>
        <v>17.5</v>
      </c>
      <c r="E9">
        <v>31</v>
      </c>
      <c r="F9">
        <v>10</v>
      </c>
      <c r="G9">
        <v>15.966699999999999</v>
      </c>
      <c r="H9">
        <f t="shared" si="13"/>
        <v>1.59667</v>
      </c>
      <c r="I9">
        <f t="shared" si="0"/>
        <v>8</v>
      </c>
      <c r="J9">
        <f t="shared" si="4"/>
        <v>1.59667</v>
      </c>
      <c r="K9">
        <f t="shared" si="5"/>
        <v>63.03526315789474</v>
      </c>
      <c r="M9" t="s">
        <v>18</v>
      </c>
      <c r="Q9">
        <f t="shared" si="6"/>
        <v>9.7849759586543072</v>
      </c>
      <c r="R9">
        <f t="shared" si="7"/>
        <v>2.5024041345693249E-2</v>
      </c>
      <c r="S9">
        <f t="shared" si="8"/>
        <v>5.5084275396001341E-4</v>
      </c>
      <c r="U9">
        <v>19</v>
      </c>
      <c r="V9">
        <v>1.59667</v>
      </c>
      <c r="Y9">
        <f t="shared" si="9"/>
        <v>0.44613714055750003</v>
      </c>
      <c r="Z9">
        <f t="shared" si="10"/>
        <v>3.61E-2</v>
      </c>
      <c r="AB9">
        <f t="shared" si="11"/>
        <v>1.30321E-3</v>
      </c>
      <c r="AC9">
        <f t="shared" si="12"/>
        <v>0.19903834818482255</v>
      </c>
      <c r="AF9" t="e">
        <v>#NUM!</v>
      </c>
    </row>
    <row r="10" spans="1:32" x14ac:dyDescent="0.3">
      <c r="A10">
        <v>9</v>
      </c>
      <c r="B10">
        <v>1</v>
      </c>
      <c r="C10">
        <f t="shared" si="1"/>
        <v>12</v>
      </c>
      <c r="D10">
        <f t="shared" si="2"/>
        <v>11</v>
      </c>
      <c r="E10">
        <v>38</v>
      </c>
      <c r="F10">
        <v>10</v>
      </c>
      <c r="G10">
        <v>18.233329999999999</v>
      </c>
      <c r="H10">
        <f t="shared" si="13"/>
        <v>1.8233329999999999</v>
      </c>
      <c r="I10">
        <f t="shared" si="0"/>
        <v>9</v>
      </c>
      <c r="J10">
        <f t="shared" si="4"/>
        <v>1.8233329999999999</v>
      </c>
      <c r="K10">
        <f t="shared" si="5"/>
        <v>81.722500000000011</v>
      </c>
      <c r="M10" t="s">
        <v>19</v>
      </c>
      <c r="N10" t="s">
        <v>20</v>
      </c>
      <c r="Q10">
        <f>4*3.1415^2*(1.002^2/12+C10^2/10000)/H10^2/D10*100/(1+723/8707)</f>
        <v>9.7743793758212956</v>
      </c>
      <c r="R10">
        <f t="shared" si="7"/>
        <v>3.5620624178704929E-2</v>
      </c>
      <c r="S10">
        <f t="shared" si="8"/>
        <v>1.160534756931051E-3</v>
      </c>
      <c r="U10">
        <v>12</v>
      </c>
      <c r="V10">
        <v>1.8233329999999999</v>
      </c>
      <c r="Y10">
        <f t="shared" si="9"/>
        <v>0.36569975517778991</v>
      </c>
      <c r="Z10">
        <f t="shared" si="10"/>
        <v>1.44E-2</v>
      </c>
      <c r="AB10">
        <f t="shared" si="11"/>
        <v>2.0735999999999999E-4</v>
      </c>
      <c r="AC10">
        <f t="shared" si="12"/>
        <v>0.13373631093709548</v>
      </c>
      <c r="AF10" t="e">
        <v>#NUM!</v>
      </c>
    </row>
    <row r="11" spans="1:32" x14ac:dyDescent="0.3">
      <c r="A11">
        <v>10</v>
      </c>
      <c r="B11">
        <v>0.8</v>
      </c>
      <c r="C11">
        <f t="shared" si="1"/>
        <v>10</v>
      </c>
      <c r="D11">
        <f t="shared" si="2"/>
        <v>9.2000000000000028</v>
      </c>
      <c r="E11">
        <v>40</v>
      </c>
      <c r="F11">
        <v>10</v>
      </c>
      <c r="G11">
        <v>19.5</v>
      </c>
      <c r="H11">
        <f t="shared" si="13"/>
        <v>1.95</v>
      </c>
      <c r="I11">
        <f t="shared" si="0"/>
        <v>10</v>
      </c>
      <c r="J11">
        <f t="shared" si="4"/>
        <v>1.95</v>
      </c>
      <c r="K11">
        <f t="shared" si="5"/>
        <v>93.667000000000002</v>
      </c>
      <c r="M11">
        <f>15.6/10</f>
        <v>1.56</v>
      </c>
      <c r="N11">
        <v>1.8149999999999999</v>
      </c>
      <c r="Q11">
        <f t="shared" si="6"/>
        <v>9.7593418741145364</v>
      </c>
      <c r="R11">
        <f t="shared" si="7"/>
        <v>5.0658125885464145E-2</v>
      </c>
      <c r="S11">
        <f t="shared" si="8"/>
        <v>2.4112149973542947E-3</v>
      </c>
      <c r="U11">
        <v>10</v>
      </c>
      <c r="V11">
        <v>1.95</v>
      </c>
      <c r="Y11">
        <f t="shared" si="9"/>
        <v>0.34983000000000009</v>
      </c>
      <c r="Z11">
        <f t="shared" si="10"/>
        <v>0.01</v>
      </c>
      <c r="AB11">
        <f t="shared" si="11"/>
        <v>1E-4</v>
      </c>
      <c r="AC11">
        <f t="shared" si="12"/>
        <v>0.12238102890000006</v>
      </c>
      <c r="AF11" t="e">
        <v>#NUM!</v>
      </c>
    </row>
    <row r="12" spans="1:32" x14ac:dyDescent="0.3">
      <c r="A12">
        <v>11</v>
      </c>
      <c r="B12">
        <v>0.4</v>
      </c>
      <c r="C12">
        <f t="shared" si="1"/>
        <v>5</v>
      </c>
      <c r="D12">
        <f t="shared" si="2"/>
        <v>4.6000000000000014</v>
      </c>
      <c r="E12">
        <v>45</v>
      </c>
      <c r="F12">
        <v>10</v>
      </c>
      <c r="G12">
        <v>26.332999999999998</v>
      </c>
      <c r="H12">
        <f t="shared" si="13"/>
        <v>2.6332999999999998</v>
      </c>
      <c r="I12">
        <f>11</f>
        <v>11</v>
      </c>
      <c r="J12">
        <f t="shared" si="4"/>
        <v>2.6332999999999998</v>
      </c>
      <c r="K12">
        <f t="shared" si="5"/>
        <v>172.334</v>
      </c>
      <c r="Q12">
        <f>4*3.1415^2*(1.002^2/12+C12^2/10000)/H12^2/D12*100/(1+723/8707)</f>
        <v>9.8463083910870512</v>
      </c>
      <c r="R12">
        <f t="shared" si="7"/>
        <v>-3.6308391087050751E-2</v>
      </c>
      <c r="S12">
        <f t="shared" si="8"/>
        <v>1.433560798870246E-3</v>
      </c>
      <c r="U12">
        <v>5</v>
      </c>
      <c r="V12">
        <v>2.6332999999999998</v>
      </c>
      <c r="Y12">
        <f t="shared" si="9"/>
        <v>0.31897636894000003</v>
      </c>
      <c r="Z12">
        <f t="shared" si="10"/>
        <v>2.5000000000000001E-3</v>
      </c>
      <c r="AB12">
        <f t="shared" si="11"/>
        <v>6.2500000000000003E-6</v>
      </c>
      <c r="AC12">
        <f t="shared" si="12"/>
        <v>0.10174592394214702</v>
      </c>
      <c r="AF12" t="e">
        <v>#NUM!</v>
      </c>
    </row>
    <row r="16" spans="1:32" x14ac:dyDescent="0.3">
      <c r="C16" t="s">
        <v>24</v>
      </c>
      <c r="D16" t="s">
        <v>25</v>
      </c>
      <c r="E16" t="s">
        <v>8</v>
      </c>
      <c r="F16" t="s">
        <v>29</v>
      </c>
      <c r="G16" t="s">
        <v>28</v>
      </c>
      <c r="H16" t="s">
        <v>26</v>
      </c>
    </row>
    <row r="17" spans="2:9" x14ac:dyDescent="0.3">
      <c r="B17">
        <v>1</v>
      </c>
      <c r="C17">
        <f>10*C2</f>
        <v>470</v>
      </c>
      <c r="D17">
        <f>D2*10</f>
        <v>433</v>
      </c>
      <c r="E17">
        <v>10</v>
      </c>
      <c r="F17">
        <v>16.2</v>
      </c>
      <c r="G17">
        <v>1.62</v>
      </c>
      <c r="H17">
        <v>9.7691300523179034</v>
      </c>
      <c r="I17">
        <v>4.0869947682097063E-2</v>
      </c>
    </row>
    <row r="18" spans="2:9" x14ac:dyDescent="0.3">
      <c r="B18">
        <v>2</v>
      </c>
      <c r="C18">
        <f t="shared" ref="C18:C27" si="14">10*C3</f>
        <v>440</v>
      </c>
      <c r="D18">
        <f t="shared" ref="D18:D27" si="15">D3*10</f>
        <v>406</v>
      </c>
      <c r="E18">
        <v>10</v>
      </c>
      <c r="F18">
        <v>15.91667</v>
      </c>
      <c r="G18">
        <v>1.5916669999999999</v>
      </c>
      <c r="H18">
        <v>9.8255913271703363</v>
      </c>
      <c r="I18">
        <v>-1.5591327170335845E-2</v>
      </c>
    </row>
    <row r="19" spans="2:9" x14ac:dyDescent="0.3">
      <c r="B19">
        <v>3</v>
      </c>
      <c r="C19">
        <f t="shared" si="14"/>
        <v>400</v>
      </c>
      <c r="D19">
        <f t="shared" si="15"/>
        <v>369</v>
      </c>
      <c r="E19">
        <v>10</v>
      </c>
      <c r="F19">
        <v>15.667</v>
      </c>
      <c r="G19">
        <v>1.5667</v>
      </c>
      <c r="H19">
        <v>9.8059490972679431</v>
      </c>
      <c r="I19">
        <v>4.5230040936539595E-2</v>
      </c>
    </row>
    <row r="20" spans="2:9" x14ac:dyDescent="0.3">
      <c r="B20">
        <v>4</v>
      </c>
      <c r="C20">
        <f t="shared" si="14"/>
        <v>360</v>
      </c>
      <c r="D20">
        <f t="shared" si="15"/>
        <v>331</v>
      </c>
      <c r="E20">
        <v>10</v>
      </c>
      <c r="F20">
        <v>15.466699999999999</v>
      </c>
      <c r="G20">
        <v>1.54667</v>
      </c>
      <c r="H20">
        <v>9.8172830704975542</v>
      </c>
      <c r="I20">
        <v>-7.283070497553723E-3</v>
      </c>
    </row>
    <row r="21" spans="2:9" x14ac:dyDescent="0.3">
      <c r="B21" s="2">
        <v>5</v>
      </c>
      <c r="C21" s="2">
        <f t="shared" si="14"/>
        <v>330</v>
      </c>
      <c r="D21" s="2">
        <f t="shared" si="15"/>
        <v>304</v>
      </c>
      <c r="E21" s="2">
        <v>10</v>
      </c>
      <c r="F21" s="2">
        <v>15.333</v>
      </c>
      <c r="G21" s="2">
        <v>1.5333000000000001</v>
      </c>
      <c r="H21" s="2">
        <v>9.820757352214633</v>
      </c>
      <c r="I21" s="2">
        <v>-1.0757352214632476E-2</v>
      </c>
    </row>
    <row r="22" spans="2:9" x14ac:dyDescent="0.3">
      <c r="B22">
        <v>6</v>
      </c>
      <c r="C22">
        <f t="shared" si="14"/>
        <v>260</v>
      </c>
      <c r="D22">
        <f t="shared" si="15"/>
        <v>239</v>
      </c>
      <c r="E22">
        <v>10</v>
      </c>
      <c r="F22">
        <v>15.3</v>
      </c>
      <c r="G22">
        <v>1.53</v>
      </c>
      <c r="H22">
        <v>9.8549494832711684</v>
      </c>
      <c r="I22">
        <v>-4.4949483271167878E-2</v>
      </c>
    </row>
    <row r="23" spans="2:9" x14ac:dyDescent="0.3">
      <c r="B23">
        <v>7</v>
      </c>
      <c r="C23">
        <f t="shared" si="14"/>
        <v>220</v>
      </c>
      <c r="D23">
        <f t="shared" si="15"/>
        <v>202.00000000000003</v>
      </c>
      <c r="E23">
        <v>10</v>
      </c>
      <c r="F23">
        <v>15.566700000000001</v>
      </c>
      <c r="G23">
        <v>1.55667</v>
      </c>
      <c r="H23">
        <v>9.8342399972404646</v>
      </c>
      <c r="I23">
        <v>-2.4239997240464106E-2</v>
      </c>
    </row>
    <row r="24" spans="2:9" x14ac:dyDescent="0.3">
      <c r="B24" s="2">
        <v>8</v>
      </c>
      <c r="C24" s="2">
        <f t="shared" si="14"/>
        <v>190</v>
      </c>
      <c r="D24" s="2">
        <f t="shared" si="15"/>
        <v>175</v>
      </c>
      <c r="E24" s="2">
        <v>10</v>
      </c>
      <c r="F24" s="2">
        <v>15.966699999999999</v>
      </c>
      <c r="G24" s="2">
        <v>1.59667</v>
      </c>
      <c r="H24" s="2">
        <v>9.7849759586543072</v>
      </c>
      <c r="I24" s="2">
        <v>2.5024041345693249E-2</v>
      </c>
    </row>
    <row r="25" spans="2:9" x14ac:dyDescent="0.3">
      <c r="B25">
        <v>9</v>
      </c>
      <c r="C25">
        <f t="shared" si="14"/>
        <v>120</v>
      </c>
      <c r="D25">
        <f t="shared" si="15"/>
        <v>110</v>
      </c>
      <c r="E25">
        <v>10</v>
      </c>
      <c r="F25">
        <v>18.233329999999999</v>
      </c>
      <c r="G25">
        <v>1.8233329999999999</v>
      </c>
      <c r="H25">
        <v>9.7743793758212956</v>
      </c>
      <c r="I25">
        <v>3.5620624178704929E-2</v>
      </c>
    </row>
    <row r="26" spans="2:9" x14ac:dyDescent="0.3">
      <c r="B26">
        <v>10</v>
      </c>
      <c r="C26">
        <f t="shared" si="14"/>
        <v>100</v>
      </c>
      <c r="D26">
        <f t="shared" si="15"/>
        <v>92.000000000000028</v>
      </c>
      <c r="E26">
        <v>10</v>
      </c>
      <c r="F26">
        <v>19.5</v>
      </c>
      <c r="G26">
        <v>1.95</v>
      </c>
      <c r="H26">
        <v>9.7593418741145364</v>
      </c>
      <c r="I26">
        <v>5.0658125885464145E-2</v>
      </c>
    </row>
    <row r="27" spans="2:9" x14ac:dyDescent="0.3">
      <c r="B27">
        <v>11</v>
      </c>
      <c r="C27">
        <f t="shared" si="14"/>
        <v>50</v>
      </c>
      <c r="D27">
        <f t="shared" si="15"/>
        <v>46.000000000000014</v>
      </c>
      <c r="E27">
        <v>10</v>
      </c>
      <c r="F27">
        <v>26.332999999999998</v>
      </c>
      <c r="G27">
        <v>2.6332999999999998</v>
      </c>
      <c r="H27">
        <v>9.8463083910870512</v>
      </c>
      <c r="I27">
        <v>-3.6308391087050751E-2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Первое измерение</vt:lpstr>
      <vt:lpstr>Общая 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2024-11-07T06:21:48Z</dcterms:created>
  <dcterms:modified xsi:type="dcterms:W3CDTF">2024-11-11T12:06:01Z</dcterms:modified>
</cp:coreProperties>
</file>