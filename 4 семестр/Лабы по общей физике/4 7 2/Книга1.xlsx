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4 семестр\4 7 2\"/>
    </mc:Choice>
  </mc:AlternateContent>
  <xr:revisionPtr revIDLastSave="0" documentId="13_ncr:1_{398083AE-1EC6-4EDC-9E9C-19BAEEAF94E7}" xr6:coauthVersionLast="47" xr6:coauthVersionMax="47" xr10:uidLastSave="{00000000-0000-0000-0000-000000000000}"/>
  <bookViews>
    <workbookView xWindow="-108" yWindow="-108" windowWidth="23256" windowHeight="13896" activeTab="1" xr2:uid="{27A70736-5536-4A0E-B167-94FFC110223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G3" i="1"/>
  <c r="G4" i="1"/>
  <c r="G5" i="1"/>
  <c r="G6" i="1"/>
  <c r="G7" i="1"/>
  <c r="G8" i="1"/>
  <c r="G9" i="1"/>
  <c r="G2" i="1"/>
  <c r="H3" i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<sst xmlns="http://schemas.openxmlformats.org/spreadsheetml/2006/main" count="5" uniqueCount="5">
  <si>
    <t>N</t>
  </si>
  <si>
    <t>D, мм</t>
  </si>
  <si>
    <t>m</t>
  </si>
  <si>
    <t>r^2, мм2</t>
  </si>
  <si>
    <t>r,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</si>
</sst>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64</c:v>
                </c:pt>
                <c:pt idx="1">
                  <c:v>85</c:v>
                </c:pt>
                <c:pt idx="2">
                  <c:v>101</c:v>
                </c:pt>
                <c:pt idx="3">
                  <c:v>114</c:v>
                </c:pt>
                <c:pt idx="4">
                  <c:v>126.5</c:v>
                </c:pt>
                <c:pt idx="5">
                  <c:v>137</c:v>
                </c:pt>
                <c:pt idx="6">
                  <c:v>147</c:v>
                </c:pt>
                <c:pt idx="7">
                  <c:v>157.5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8F-4664-9AD7-E6595C6F841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Лист1!$C$2:$C$9</c:f>
              <c:numCache>
                <c:formatCode>General</c:formatCode>
                <c:ptCount val="8"/>
                <c:pt idx="0">
                  <c:v>28</c:v>
                </c:pt>
                <c:pt idx="1">
                  <c:v>57</c:v>
                </c:pt>
                <c:pt idx="2">
                  <c:v>61</c:v>
                </c:pt>
                <c:pt idx="3">
                  <c:v>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8F-4664-9AD7-E6595C6F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630688"/>
        <c:axId val="2096631168"/>
      </c:scatterChart>
      <c:valAx>
        <c:axId val="209663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6631168"/>
        <c:crosses val="autoZero"/>
        <c:crossBetween val="midCat"/>
      </c:valAx>
      <c:valAx>
        <c:axId val="20966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663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Лист1!$F$2:$F$9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Лист1!$H$2:$H$9</c:f>
              <c:numCache>
                <c:formatCode>0.00</c:formatCode>
                <c:ptCount val="8"/>
                <c:pt idx="0">
                  <c:v>1024</c:v>
                </c:pt>
                <c:pt idx="1">
                  <c:v>1806.25</c:v>
                </c:pt>
                <c:pt idx="2">
                  <c:v>2550.25</c:v>
                </c:pt>
                <c:pt idx="3">
                  <c:v>3249</c:v>
                </c:pt>
                <c:pt idx="4">
                  <c:v>4000.5625</c:v>
                </c:pt>
                <c:pt idx="5">
                  <c:v>4692.25</c:v>
                </c:pt>
                <c:pt idx="6">
                  <c:v>5402.25</c:v>
                </c:pt>
                <c:pt idx="7">
                  <c:v>6201.5625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53-484D-BA79-F2E012CD0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86608"/>
        <c:axId val="207187088"/>
      </c:scatterChart>
      <c:valAx>
        <c:axId val="20718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187088"/>
        <c:crosses val="autoZero"/>
        <c:crossBetween val="midCat"/>
      </c:valAx>
      <c:valAx>
        <c:axId val="2071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18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Лист2!$A$1:$A$4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Лист2!$B$1:$B$4</c:f>
              <c:numCache>
                <c:formatCode>General</c:formatCode>
                <c:ptCount val="4"/>
                <c:pt idx="0">
                  <c:v>0</c:v>
                </c:pt>
                <c:pt idx="1">
                  <c:v>510.00000000000006</c:v>
                </c:pt>
                <c:pt idx="2">
                  <c:v>990</c:v>
                </c:pt>
                <c:pt idx="3">
                  <c:v>1425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C7-476D-9704-047CE9C17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519583"/>
        <c:axId val="404542143"/>
      </c:scatterChart>
      <c:valAx>
        <c:axId val="40451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542143"/>
        <c:crosses val="autoZero"/>
        <c:crossBetween val="midCat"/>
      </c:valAx>
      <c:valAx>
        <c:axId val="40454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51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Лист2!$E$2:$E$4</c:f>
              <c:numCache>
                <c:formatCode>General</c:formatCode>
                <c:ptCount val="3"/>
                <c:pt idx="0">
                  <c:v>28</c:v>
                </c:pt>
                <c:pt idx="1">
                  <c:v>61</c:v>
                </c:pt>
                <c:pt idx="2">
                  <c:v>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31-4AD8-82A6-6F1D67EFC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520063"/>
        <c:axId val="404538303"/>
      </c:scatterChart>
      <c:valAx>
        <c:axId val="40452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538303"/>
        <c:crosses val="autoZero"/>
        <c:crossBetween val="midCat"/>
      </c:valAx>
      <c:valAx>
        <c:axId val="40453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52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1</xdr:row>
      <xdr:rowOff>102870</xdr:rowOff>
    </xdr:from>
    <xdr:to>
      <xdr:col>23</xdr:col>
      <xdr:colOff>388620</xdr:colOff>
      <xdr:row>16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DF5639-3477-BA59-D42F-1E04FD3C8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320040</xdr:colOff>
      <xdr:row>12</xdr:row>
      <xdr:rowOff>148590</xdr:rowOff>
    </xdr:from>
    <xdr:to>
      <xdr:col>16</xdr:col>
      <xdr:colOff>15240</xdr:colOff>
      <xdr:row>27</xdr:row>
      <xdr:rowOff>148590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9180242-BB39-E3F6-B070-F3C2D6DB9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49530</xdr:rowOff>
    </xdr:from>
    <xdr:to>
      <xdr:col>7</xdr:col>
      <xdr:colOff>304800</xdr:colOff>
      <xdr:row>34</xdr:row>
      <xdr:rowOff>49530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F0F50D-49D9-D137-C3D6-334E449A5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E87CC21-5083-F3F4-8F19-3391BEEEF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1660-1285-4074-9B81-CDA69C1163DA}">
  <dimension ref="A1:H9"/>
  <sheetViews>
    <sheetView workbookViewId="0">
      <selection activeCell="C2" sqref="C2:C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F1" t="s">
        <v>2</v>
      </c>
      <c r="G1" t="s">
        <v>4</v>
      </c>
      <c r="H1" t="s">
        <v>3</v>
      </c>
    </row>
    <row r="2" spans="1:8" x14ac:dyDescent="0.3">
      <c r="A2">
        <v>1</v>
      </c>
      <c r="B2">
        <v>64</v>
      </c>
      <c r="C2">
        <v>28</v>
      </c>
      <c r="F2">
        <v>1</v>
      </c>
      <c r="G2" s="1">
        <f>B2/2</f>
        <v>32</v>
      </c>
      <c r="H2" s="2">
        <f>B2*B2/4</f>
        <v>1024</v>
      </c>
    </row>
    <row r="3" spans="1:8" x14ac:dyDescent="0.3">
      <c r="A3">
        <v>2</v>
      </c>
      <c r="B3">
        <v>85</v>
      </c>
      <c r="C3">
        <v>57</v>
      </c>
      <c r="F3">
        <v>2</v>
      </c>
      <c r="G3" s="1">
        <f t="shared" ref="G3:G9" si="0">B3/2</f>
        <v>42.5</v>
      </c>
      <c r="H3" s="2">
        <f t="shared" ref="H3:H9" si="1">B3*B3/4</f>
        <v>1806.25</v>
      </c>
    </row>
    <row r="4" spans="1:8" x14ac:dyDescent="0.3">
      <c r="A4">
        <v>3</v>
      </c>
      <c r="B4">
        <v>101</v>
      </c>
      <c r="C4">
        <v>61</v>
      </c>
      <c r="F4">
        <v>3</v>
      </c>
      <c r="G4" s="1">
        <f t="shared" si="0"/>
        <v>50.5</v>
      </c>
      <c r="H4" s="2">
        <f t="shared" si="1"/>
        <v>2550.25</v>
      </c>
    </row>
    <row r="5" spans="1:8" x14ac:dyDescent="0.3">
      <c r="A5">
        <v>4</v>
      </c>
      <c r="B5">
        <v>114</v>
      </c>
      <c r="C5">
        <v>91</v>
      </c>
      <c r="F5">
        <v>4</v>
      </c>
      <c r="G5" s="1">
        <f t="shared" si="0"/>
        <v>57</v>
      </c>
      <c r="H5" s="2">
        <f t="shared" si="1"/>
        <v>3249</v>
      </c>
    </row>
    <row r="6" spans="1:8" x14ac:dyDescent="0.3">
      <c r="A6">
        <v>5</v>
      </c>
      <c r="B6">
        <v>126.5</v>
      </c>
      <c r="F6">
        <v>5</v>
      </c>
      <c r="G6" s="1">
        <f t="shared" si="0"/>
        <v>63.25</v>
      </c>
      <c r="H6" s="2">
        <f t="shared" si="1"/>
        <v>4000.5625</v>
      </c>
    </row>
    <row r="7" spans="1:8" x14ac:dyDescent="0.3">
      <c r="A7">
        <v>6</v>
      </c>
      <c r="B7">
        <v>137</v>
      </c>
      <c r="F7">
        <v>6</v>
      </c>
      <c r="G7" s="1">
        <f t="shared" si="0"/>
        <v>68.5</v>
      </c>
      <c r="H7" s="2">
        <f t="shared" si="1"/>
        <v>4692.25</v>
      </c>
    </row>
    <row r="8" spans="1:8" x14ac:dyDescent="0.3">
      <c r="A8">
        <v>7</v>
      </c>
      <c r="B8">
        <v>147</v>
      </c>
      <c r="F8">
        <v>7</v>
      </c>
      <c r="G8" s="1">
        <f t="shared" si="0"/>
        <v>73.5</v>
      </c>
      <c r="H8" s="2">
        <f t="shared" si="1"/>
        <v>5402.25</v>
      </c>
    </row>
    <row r="9" spans="1:8" x14ac:dyDescent="0.3">
      <c r="A9">
        <v>8</v>
      </c>
      <c r="B9">
        <v>157.5</v>
      </c>
      <c r="F9">
        <v>8</v>
      </c>
      <c r="G9" s="1">
        <f t="shared" si="0"/>
        <v>78.75</v>
      </c>
      <c r="H9" s="2">
        <f t="shared" si="1"/>
        <v>6201.5625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5CB2-B12B-43B0-84DD-A0F52A04133D}">
  <dimension ref="A1:E4"/>
  <sheetViews>
    <sheetView tabSelected="1" workbookViewId="0">
      <selection activeCell="D2" sqref="D2:E4"/>
    </sheetView>
  </sheetViews>
  <sheetFormatPr defaultRowHeight="14.4" x14ac:dyDescent="0.3"/>
  <sheetData>
    <row r="1" spans="1:5" x14ac:dyDescent="0.3">
      <c r="A1">
        <v>0</v>
      </c>
      <c r="B1">
        <v>0</v>
      </c>
      <c r="D1">
        <v>0</v>
      </c>
      <c r="E1">
        <v>0</v>
      </c>
    </row>
    <row r="2" spans="1:5" x14ac:dyDescent="0.3">
      <c r="A2">
        <v>1</v>
      </c>
      <c r="B2">
        <f>0.34*1500</f>
        <v>510.00000000000006</v>
      </c>
      <c r="D2">
        <v>1</v>
      </c>
      <c r="E2">
        <v>28</v>
      </c>
    </row>
    <row r="3" spans="1:5" x14ac:dyDescent="0.3">
      <c r="A3">
        <v>2</v>
      </c>
      <c r="B3">
        <f>0.66*1500</f>
        <v>990</v>
      </c>
      <c r="D3">
        <v>2</v>
      </c>
      <c r="E3">
        <v>61</v>
      </c>
    </row>
    <row r="4" spans="1:5" x14ac:dyDescent="0.3">
      <c r="A4">
        <v>3</v>
      </c>
      <c r="B4">
        <f>0.95*1500</f>
        <v>1425</v>
      </c>
      <c r="D4">
        <v>3</v>
      </c>
      <c r="E4">
        <v>91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2026-04-03T14:28:54Z</dcterms:created>
  <dcterms:modified xsi:type="dcterms:W3CDTF">2026-04-03T19:57:58Z</dcterms:modified>
</cp:coreProperties>
</file>