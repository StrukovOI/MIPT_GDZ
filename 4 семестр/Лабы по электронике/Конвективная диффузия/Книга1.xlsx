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"/>
    </mc:Choice>
  </mc:AlternateContent>
  <xr:revisionPtr revIDLastSave="0" documentId="13_ncr:1_{70FF4441-9C7A-4E7F-86FE-CCF776CF6D71}" xr6:coauthVersionLast="47" xr6:coauthVersionMax="47" xr10:uidLastSave="{00000000-0000-0000-0000-000000000000}"/>
  <bookViews>
    <workbookView xWindow="-108" yWindow="-108" windowWidth="23256" windowHeight="13896" xr2:uid="{DD47FBA5-6FCF-407C-B352-9066051FEA45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2" l="1"/>
  <c r="D11" i="2"/>
  <c r="E11" i="2"/>
  <c r="F11" i="2"/>
  <c r="G11" i="2"/>
  <c r="H11" i="2"/>
  <c r="I11" i="2"/>
  <c r="B11" i="2"/>
  <c r="C10" i="2"/>
  <c r="D10" i="2"/>
  <c r="E10" i="2"/>
  <c r="F10" i="2"/>
  <c r="G10" i="2"/>
  <c r="H10" i="2"/>
  <c r="I10" i="2"/>
  <c r="B10" i="2"/>
  <c r="C9" i="2"/>
  <c r="D9" i="2"/>
  <c r="E9" i="2"/>
  <c r="F9" i="2"/>
  <c r="G9" i="2"/>
  <c r="H9" i="2"/>
  <c r="I9" i="2"/>
  <c r="B9" i="2"/>
  <c r="C8" i="2"/>
  <c r="D8" i="2"/>
  <c r="E8" i="2"/>
  <c r="F8" i="2"/>
  <c r="G8" i="2"/>
  <c r="H8" i="2"/>
  <c r="I8" i="2"/>
  <c r="B8" i="2"/>
  <c r="C9" i="1"/>
  <c r="D9" i="1"/>
  <c r="E9" i="1"/>
  <c r="F9" i="1"/>
  <c r="G9" i="1"/>
  <c r="H9" i="1"/>
  <c r="I9" i="1"/>
  <c r="J9" i="1"/>
  <c r="K9" i="1"/>
  <c r="B9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B8" i="1"/>
  <c r="B7" i="1"/>
  <c r="C6" i="1"/>
  <c r="D6" i="1"/>
  <c r="E6" i="1"/>
  <c r="F6" i="1"/>
  <c r="G6" i="1"/>
  <c r="H6" i="1"/>
  <c r="I6" i="1"/>
  <c r="J6" i="1"/>
  <c r="K6" i="1"/>
  <c r="B6" i="1"/>
</calcChain>
</file>

<file path=xl/sharedStrings.xml><?xml version="1.0" encoding="utf-8"?>
<sst xmlns="http://schemas.openxmlformats.org/spreadsheetml/2006/main" count="9" uniqueCount="7">
  <si>
    <t>U</t>
  </si>
  <si>
    <t>I</t>
  </si>
  <si>
    <t>I, мкА</t>
  </si>
  <si>
    <t>U, мВ</t>
  </si>
  <si>
    <t>Частота, Гц</t>
  </si>
  <si>
    <t>Вход,</t>
  </si>
  <si>
    <t>Выход,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</si>
</sst>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Лист1!$B$2:$K$2</c:f>
              <c:numCache>
                <c:formatCode>General</c:formatCode>
                <c:ptCount val="10"/>
                <c:pt idx="0">
                  <c:v>-47000</c:v>
                </c:pt>
                <c:pt idx="1">
                  <c:v>-51000</c:v>
                </c:pt>
                <c:pt idx="2">
                  <c:v>-56000</c:v>
                </c:pt>
                <c:pt idx="3">
                  <c:v>-61000</c:v>
                </c:pt>
                <c:pt idx="4">
                  <c:v>-66500</c:v>
                </c:pt>
                <c:pt idx="5">
                  <c:v>-76500</c:v>
                </c:pt>
                <c:pt idx="6">
                  <c:v>-86000</c:v>
                </c:pt>
                <c:pt idx="7">
                  <c:v>-96000</c:v>
                </c:pt>
                <c:pt idx="8">
                  <c:v>-146000</c:v>
                </c:pt>
                <c:pt idx="9">
                  <c:v>-196000</c:v>
                </c:pt>
              </c:numCache>
            </c:numRef>
          </c:xVal>
          <c:yVal>
            <c:numRef>
              <c:f>Лист1!$B$3:$K$3</c:f>
              <c:numCache>
                <c:formatCode>General</c:formatCode>
                <c:ptCount val="10"/>
                <c:pt idx="0">
                  <c:v>-40000</c:v>
                </c:pt>
                <c:pt idx="1">
                  <c:v>-11000</c:v>
                </c:pt>
                <c:pt idx="2">
                  <c:v>25000</c:v>
                </c:pt>
                <c:pt idx="3">
                  <c:v>63000</c:v>
                </c:pt>
                <c:pt idx="4">
                  <c:v>101000</c:v>
                </c:pt>
                <c:pt idx="5">
                  <c:v>160000</c:v>
                </c:pt>
                <c:pt idx="6">
                  <c:v>225000</c:v>
                </c:pt>
                <c:pt idx="7">
                  <c:v>270000</c:v>
                </c:pt>
                <c:pt idx="8">
                  <c:v>496000</c:v>
                </c:pt>
                <c:pt idx="9">
                  <c:v>670000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76-4A5B-A2F6-F4FA058DE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44431"/>
        <c:axId val="91337231"/>
      </c:scatterChart>
      <c:valAx>
        <c:axId val="9134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337231"/>
        <c:crosses val="autoZero"/>
        <c:crossBetween val="midCat"/>
      </c:valAx>
      <c:valAx>
        <c:axId val="9133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344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144780</xdr:colOff>
      <xdr:row>10</xdr:row>
      <xdr:rowOff>19050</xdr:rowOff>
    </xdr:from>
    <xdr:to>
      <xdr:col>21</xdr:col>
      <xdr:colOff>449580</xdr:colOff>
      <xdr:row>25</xdr:row>
      <xdr:rowOff>19050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F5D0AFB-5500-462A-0A94-E0A956B46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EB442-081B-488A-A376-FBAF2C0E7BDD}">
  <dimension ref="A1:K16"/>
  <sheetViews>
    <sheetView tabSelected="1" workbookViewId="0">
      <selection activeCell="A15" sqref="A15:K16"/>
    </sheetView>
  </sheetViews>
  <sheetFormatPr defaultRowHeight="14.4" x14ac:dyDescent="0.3"/>
  <sheetData>
    <row r="1" spans="1:11" x14ac:dyDescent="0.3">
      <c r="B1">
        <v>2</v>
      </c>
      <c r="C1">
        <v>5</v>
      </c>
      <c r="D1">
        <v>10</v>
      </c>
      <c r="E1">
        <v>15</v>
      </c>
      <c r="F1">
        <v>20</v>
      </c>
      <c r="G1">
        <v>30</v>
      </c>
      <c r="H1">
        <v>40</v>
      </c>
      <c r="I1">
        <v>50</v>
      </c>
      <c r="J1">
        <v>100</v>
      </c>
      <c r="K1">
        <v>150</v>
      </c>
    </row>
    <row r="2" spans="1:11" x14ac:dyDescent="0.3">
      <c r="B2">
        <v>-47000</v>
      </c>
      <c r="C2">
        <v>-51000</v>
      </c>
      <c r="D2">
        <v>-56000</v>
      </c>
      <c r="E2">
        <v>-61000</v>
      </c>
      <c r="F2">
        <v>-66500</v>
      </c>
      <c r="G2">
        <v>-76500</v>
      </c>
      <c r="H2">
        <v>-86000</v>
      </c>
      <c r="I2">
        <v>-96000</v>
      </c>
      <c r="J2">
        <v>-146000</v>
      </c>
      <c r="K2">
        <v>-196000</v>
      </c>
    </row>
    <row r="3" spans="1:11" x14ac:dyDescent="0.3">
      <c r="B3">
        <v>-40000</v>
      </c>
      <c r="C3">
        <v>-11000</v>
      </c>
      <c r="D3">
        <v>25000</v>
      </c>
      <c r="E3">
        <v>63000</v>
      </c>
      <c r="F3">
        <v>101000</v>
      </c>
      <c r="G3">
        <v>160000</v>
      </c>
      <c r="H3">
        <v>225000</v>
      </c>
      <c r="I3">
        <v>270000</v>
      </c>
      <c r="J3">
        <v>496000</v>
      </c>
      <c r="K3">
        <v>670000</v>
      </c>
    </row>
    <row r="6" spans="1:11" x14ac:dyDescent="0.3">
      <c r="A6" t="s">
        <v>0</v>
      </c>
      <c r="B6">
        <f>B1</f>
        <v>2</v>
      </c>
      <c r="C6">
        <f t="shared" ref="C6:K6" si="0">C1</f>
        <v>5</v>
      </c>
      <c r="D6">
        <f t="shared" si="0"/>
        <v>10</v>
      </c>
      <c r="E6">
        <f t="shared" si="0"/>
        <v>15</v>
      </c>
      <c r="F6">
        <f t="shared" si="0"/>
        <v>20</v>
      </c>
      <c r="G6">
        <f t="shared" si="0"/>
        <v>30</v>
      </c>
      <c r="H6">
        <f t="shared" si="0"/>
        <v>40</v>
      </c>
      <c r="I6">
        <f t="shared" si="0"/>
        <v>50</v>
      </c>
      <c r="J6">
        <f t="shared" si="0"/>
        <v>100</v>
      </c>
      <c r="K6">
        <f t="shared" si="0"/>
        <v>150</v>
      </c>
    </row>
    <row r="7" spans="1:11" x14ac:dyDescent="0.3">
      <c r="A7" t="s">
        <v>0</v>
      </c>
      <c r="B7">
        <f>B2/1000</f>
        <v>-47</v>
      </c>
      <c r="C7">
        <f t="shared" ref="C7:K7" si="1">C2/1000</f>
        <v>-51</v>
      </c>
      <c r="D7">
        <f t="shared" si="1"/>
        <v>-56</v>
      </c>
      <c r="E7">
        <f t="shared" si="1"/>
        <v>-61</v>
      </c>
      <c r="F7">
        <f t="shared" si="1"/>
        <v>-66.5</v>
      </c>
      <c r="G7">
        <f t="shared" si="1"/>
        <v>-76.5</v>
      </c>
      <c r="H7">
        <f t="shared" si="1"/>
        <v>-86</v>
      </c>
      <c r="I7">
        <f t="shared" si="1"/>
        <v>-96</v>
      </c>
      <c r="J7">
        <f t="shared" si="1"/>
        <v>-146</v>
      </c>
      <c r="K7">
        <f t="shared" si="1"/>
        <v>-196</v>
      </c>
    </row>
    <row r="8" spans="1:11" x14ac:dyDescent="0.3">
      <c r="A8" t="s">
        <v>0</v>
      </c>
      <c r="B8">
        <f>B3/1000</f>
        <v>-40</v>
      </c>
      <c r="C8">
        <f t="shared" ref="C8:K8" si="2">C3/1000</f>
        <v>-11</v>
      </c>
      <c r="D8">
        <f t="shared" si="2"/>
        <v>25</v>
      </c>
      <c r="E8">
        <f t="shared" si="2"/>
        <v>63</v>
      </c>
      <c r="F8">
        <f t="shared" si="2"/>
        <v>101</v>
      </c>
      <c r="G8">
        <f t="shared" si="2"/>
        <v>160</v>
      </c>
      <c r="H8">
        <f t="shared" si="2"/>
        <v>225</v>
      </c>
      <c r="I8">
        <f t="shared" si="2"/>
        <v>270</v>
      </c>
      <c r="J8">
        <f t="shared" si="2"/>
        <v>496</v>
      </c>
      <c r="K8">
        <f t="shared" si="2"/>
        <v>670</v>
      </c>
    </row>
    <row r="9" spans="1:11" x14ac:dyDescent="0.3">
      <c r="A9" t="s">
        <v>1</v>
      </c>
      <c r="B9" s="1">
        <f>B8/10</f>
        <v>-4</v>
      </c>
      <c r="C9" s="1">
        <f t="shared" ref="C9:K9" si="3">C8/10</f>
        <v>-1.1000000000000001</v>
      </c>
      <c r="D9" s="1">
        <f t="shared" si="3"/>
        <v>2.5</v>
      </c>
      <c r="E9" s="1">
        <f t="shared" si="3"/>
        <v>6.3</v>
      </c>
      <c r="F9" s="1">
        <f t="shared" si="3"/>
        <v>10.1</v>
      </c>
      <c r="G9" s="1">
        <f t="shared" si="3"/>
        <v>16</v>
      </c>
      <c r="H9" s="1">
        <f t="shared" si="3"/>
        <v>22.5</v>
      </c>
      <c r="I9" s="1">
        <f t="shared" si="3"/>
        <v>27</v>
      </c>
      <c r="J9" s="1">
        <f t="shared" si="3"/>
        <v>49.6</v>
      </c>
      <c r="K9" s="1">
        <f t="shared" si="3"/>
        <v>67</v>
      </c>
    </row>
    <row r="15" spans="1:11" x14ac:dyDescent="0.3">
      <c r="A15" t="s">
        <v>3</v>
      </c>
      <c r="B15">
        <v>2</v>
      </c>
      <c r="C15">
        <v>5</v>
      </c>
      <c r="D15">
        <v>10</v>
      </c>
      <c r="E15">
        <v>15</v>
      </c>
      <c r="F15">
        <v>20</v>
      </c>
      <c r="G15">
        <v>30</v>
      </c>
      <c r="H15">
        <v>40</v>
      </c>
      <c r="I15">
        <v>50</v>
      </c>
      <c r="J15">
        <v>100</v>
      </c>
      <c r="K15">
        <v>150</v>
      </c>
    </row>
    <row r="16" spans="1:11" x14ac:dyDescent="0.3">
      <c r="A16" t="s">
        <v>2</v>
      </c>
      <c r="B16">
        <v>-4</v>
      </c>
      <c r="C16">
        <v>-1.1000000000000001</v>
      </c>
      <c r="D16">
        <v>2.5</v>
      </c>
      <c r="E16">
        <v>6.3</v>
      </c>
      <c r="F16">
        <v>10.1</v>
      </c>
      <c r="G16">
        <v>16</v>
      </c>
      <c r="H16">
        <v>22.5</v>
      </c>
      <c r="I16">
        <v>27</v>
      </c>
      <c r="J16">
        <v>49.6</v>
      </c>
      <c r="K16">
        <v>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0E0F0-3A2D-4709-8B6D-3A44851FF050}">
  <dimension ref="A1:I11"/>
  <sheetViews>
    <sheetView workbookViewId="0">
      <selection activeCell="A11" sqref="A11:I11"/>
    </sheetView>
  </sheetViews>
  <sheetFormatPr defaultRowHeight="14.4" x14ac:dyDescent="0.3"/>
  <sheetData>
    <row r="1" spans="1:9" x14ac:dyDescent="0.3">
      <c r="A1">
        <v>0.1</v>
      </c>
      <c r="B1">
        <v>0.2</v>
      </c>
      <c r="C1">
        <v>0.5</v>
      </c>
      <c r="D1">
        <v>1</v>
      </c>
      <c r="E1">
        <v>2</v>
      </c>
      <c r="F1">
        <v>5</v>
      </c>
      <c r="G1">
        <v>10</v>
      </c>
      <c r="H1">
        <v>20</v>
      </c>
    </row>
    <row r="2" spans="1:9" x14ac:dyDescent="0.3">
      <c r="A2">
        <v>40</v>
      </c>
      <c r="B2">
        <v>40</v>
      </c>
      <c r="C2">
        <v>40</v>
      </c>
      <c r="D2">
        <v>40</v>
      </c>
      <c r="E2">
        <v>40</v>
      </c>
      <c r="F2">
        <v>40</v>
      </c>
      <c r="G2">
        <v>40</v>
      </c>
      <c r="H2">
        <v>40</v>
      </c>
    </row>
    <row r="3" spans="1:9" x14ac:dyDescent="0.3">
      <c r="A3">
        <v>126000</v>
      </c>
      <c r="B3">
        <v>156200</v>
      </c>
      <c r="C3">
        <v>202600</v>
      </c>
      <c r="D3">
        <v>125000</v>
      </c>
      <c r="E3">
        <v>135000</v>
      </c>
      <c r="F3">
        <v>73200</v>
      </c>
      <c r="G3">
        <v>32400</v>
      </c>
      <c r="H3">
        <v>11000</v>
      </c>
    </row>
    <row r="8" spans="1:9" x14ac:dyDescent="0.3">
      <c r="A8" t="s">
        <v>4</v>
      </c>
      <c r="B8">
        <f>A1</f>
        <v>0.1</v>
      </c>
      <c r="C8">
        <f t="shared" ref="C8:I8" si="0">B1</f>
        <v>0.2</v>
      </c>
      <c r="D8">
        <f t="shared" si="0"/>
        <v>0.5</v>
      </c>
      <c r="E8">
        <f t="shared" si="0"/>
        <v>1</v>
      </c>
      <c r="F8">
        <f t="shared" si="0"/>
        <v>2</v>
      </c>
      <c r="G8">
        <f t="shared" si="0"/>
        <v>5</v>
      </c>
      <c r="H8">
        <f t="shared" si="0"/>
        <v>10</v>
      </c>
      <c r="I8">
        <f t="shared" si="0"/>
        <v>20</v>
      </c>
    </row>
    <row r="9" spans="1:9" x14ac:dyDescent="0.3">
      <c r="A9" t="s">
        <v>5</v>
      </c>
      <c r="B9">
        <f>A2</f>
        <v>40</v>
      </c>
      <c r="C9">
        <f t="shared" ref="C9:I9" si="1">B2</f>
        <v>40</v>
      </c>
      <c r="D9">
        <f t="shared" si="1"/>
        <v>40</v>
      </c>
      <c r="E9">
        <f t="shared" si="1"/>
        <v>40</v>
      </c>
      <c r="F9">
        <f t="shared" si="1"/>
        <v>40</v>
      </c>
      <c r="G9">
        <f t="shared" si="1"/>
        <v>40</v>
      </c>
      <c r="H9">
        <f t="shared" si="1"/>
        <v>40</v>
      </c>
      <c r="I9">
        <f t="shared" si="1"/>
        <v>40</v>
      </c>
    </row>
    <row r="10" spans="1:9" x14ac:dyDescent="0.3">
      <c r="A10" t="s">
        <v>6</v>
      </c>
      <c r="B10">
        <f>A3/1000</f>
        <v>126</v>
      </c>
      <c r="C10">
        <f t="shared" ref="C10:I10" si="2">B3/1000</f>
        <v>156.19999999999999</v>
      </c>
      <c r="D10">
        <f t="shared" si="2"/>
        <v>202.6</v>
      </c>
      <c r="E10">
        <f t="shared" si="2"/>
        <v>125</v>
      </c>
      <c r="F10">
        <f t="shared" si="2"/>
        <v>135</v>
      </c>
      <c r="G10">
        <f t="shared" si="2"/>
        <v>73.2</v>
      </c>
      <c r="H10">
        <f t="shared" si="2"/>
        <v>32.4</v>
      </c>
      <c r="I10">
        <f t="shared" si="2"/>
        <v>11</v>
      </c>
    </row>
    <row r="11" spans="1:9" x14ac:dyDescent="0.3">
      <c r="B11">
        <f>B10/B9</f>
        <v>3.15</v>
      </c>
      <c r="C11">
        <f t="shared" ref="C11:I11" si="3">C10/C9</f>
        <v>3.9049999999999998</v>
      </c>
      <c r="D11">
        <f t="shared" si="3"/>
        <v>5.0649999999999995</v>
      </c>
      <c r="E11">
        <f t="shared" si="3"/>
        <v>3.125</v>
      </c>
      <c r="F11">
        <f t="shared" si="3"/>
        <v>3.375</v>
      </c>
      <c r="G11">
        <f t="shared" si="3"/>
        <v>1.83</v>
      </c>
      <c r="H11">
        <f t="shared" si="3"/>
        <v>0.80999999999999994</v>
      </c>
      <c r="I11">
        <f t="shared" si="3"/>
        <v>0.27500000000000002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2026-03-25T12:21:53Z</dcterms:created>
  <dcterms:modified xsi:type="dcterms:W3CDTF">2026-03-29T00:42:57Z</dcterms:modified>
</cp:coreProperties>
</file>