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1 2 1\"/>
    </mc:Choice>
  </mc:AlternateContent>
  <xr:revisionPtr revIDLastSave="0" documentId="13_ncr:1_{72CBE8D6-6CBA-4700-8A6C-1EFF0B5406F8}" xr6:coauthVersionLast="47" xr6:coauthVersionMax="47" xr10:uidLastSave="{00000000-0000-0000-0000-000000000000}"/>
  <bookViews>
    <workbookView xWindow="11424" yWindow="0" windowWidth="11712" windowHeight="13776" activeTab="1" xr2:uid="{E3AF1EBE-A45A-4962-8E2C-6631F0B3994B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E5" i="2"/>
  <c r="E4" i="2"/>
  <c r="E3" i="2"/>
  <c r="E2" i="2"/>
  <c r="C1" i="1"/>
  <c r="C2" i="1"/>
  <c r="L2" i="1"/>
  <c r="K2" i="1"/>
  <c r="G4" i="1"/>
  <c r="J2" i="1"/>
  <c r="G3" i="1"/>
  <c r="G2" i="1"/>
  <c r="C5" i="1"/>
  <c r="C4" i="1"/>
  <c r="C3" i="1"/>
</calcChain>
</file>

<file path=xl/sharedStrings.xml><?xml version="1.0" encoding="utf-8"?>
<sst xmlns="http://schemas.openxmlformats.org/spreadsheetml/2006/main" count="16" uniqueCount="16">
  <si>
    <t>Расстояние лазера</t>
  </si>
  <si>
    <t>1 фото</t>
  </si>
  <si>
    <t>2 фото</t>
  </si>
  <si>
    <t>3 фото</t>
  </si>
  <si>
    <t>r</t>
  </si>
  <si>
    <t>ki</t>
  </si>
  <si>
    <t>t(без грузов)</t>
  </si>
  <si>
    <t>M</t>
  </si>
  <si>
    <t>R</t>
  </si>
  <si>
    <t>KI</t>
  </si>
  <si>
    <t>U</t>
  </si>
  <si>
    <t>X</t>
  </si>
  <si>
    <t>L</t>
  </si>
  <si>
    <t xml:space="preserve">M </t>
  </si>
  <si>
    <t>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</si>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</sst>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9005A-8A8C-46F5-9DA0-65DFDFB482F5}">
  <dimension ref="A1:L10"/>
  <sheetViews>
    <sheetView workbookViewId="0">
      <selection activeCell="H2" sqref="H2"/>
    </sheetView>
  </sheetViews>
  <sheetFormatPr defaultRowHeight="14.4" x14ac:dyDescent="0.3"/>
  <sheetData>
    <row r="1" spans="1:12" x14ac:dyDescent="0.3">
      <c r="A1">
        <v>0.504</v>
      </c>
      <c r="C1" s="1">
        <f>80.29/12</f>
        <v>6.6908333333333339</v>
      </c>
      <c r="E1" t="s">
        <v>0</v>
      </c>
      <c r="G1" t="s">
        <v>6</v>
      </c>
      <c r="H1" t="s">
        <v>5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0.503</v>
      </c>
      <c r="C2" s="1">
        <f>66.24/10</f>
        <v>6.6239999999999997</v>
      </c>
      <c r="E2">
        <v>135.69999999999999</v>
      </c>
      <c r="G2">
        <f>50.54/10</f>
        <v>5.0540000000000003</v>
      </c>
      <c r="H2">
        <v>0.83899999999999997</v>
      </c>
      <c r="I2">
        <v>713.6</v>
      </c>
      <c r="J2">
        <f>36.2-5.312/2</f>
        <v>33.544000000000004</v>
      </c>
      <c r="K2">
        <f>-(4*3.14*I2*0.001*(J2*0.01)^2*C2)/(G2^2-C2^2)</f>
        <v>0.36435638121317165</v>
      </c>
      <c r="L2">
        <f>(4/135)*K2/(0.503*0.001*22.4*0.01)</f>
        <v>95.815682942864441</v>
      </c>
    </row>
    <row r="3" spans="1:12" x14ac:dyDescent="0.3">
      <c r="A3">
        <v>0.51</v>
      </c>
      <c r="C3" s="1">
        <f>66.17/10</f>
        <v>6.617</v>
      </c>
      <c r="E3" t="s">
        <v>1</v>
      </c>
      <c r="F3">
        <v>48</v>
      </c>
      <c r="G3">
        <f>50.44/10</f>
        <v>5.0439999999999996</v>
      </c>
    </row>
    <row r="4" spans="1:12" x14ac:dyDescent="0.3">
      <c r="A4">
        <v>0.50800000000000001</v>
      </c>
      <c r="C4" s="1">
        <f>66.23/10</f>
        <v>6.6230000000000002</v>
      </c>
      <c r="E4" t="s">
        <v>2</v>
      </c>
      <c r="F4">
        <v>54.96</v>
      </c>
      <c r="G4">
        <f>50.39/10</f>
        <v>5.0389999999999997</v>
      </c>
    </row>
    <row r="5" spans="1:12" x14ac:dyDescent="0.3">
      <c r="A5">
        <v>0.51400000000000001</v>
      </c>
      <c r="C5" s="1">
        <f>66/10</f>
        <v>6.6</v>
      </c>
      <c r="E5" t="s">
        <v>3</v>
      </c>
      <c r="F5">
        <v>53.12</v>
      </c>
    </row>
    <row r="6" spans="1:12" x14ac:dyDescent="0.3">
      <c r="A6">
        <v>0.51400000000000001</v>
      </c>
      <c r="E6" t="s">
        <v>4</v>
      </c>
      <c r="F6">
        <v>53.2</v>
      </c>
    </row>
    <row r="7" spans="1:12" x14ac:dyDescent="0.3">
      <c r="A7">
        <v>0.50600000000000001</v>
      </c>
    </row>
    <row r="8" spans="1:12" x14ac:dyDescent="0.3">
      <c r="A8">
        <v>0.50900000000000001</v>
      </c>
    </row>
    <row r="9" spans="1:12" x14ac:dyDescent="0.3">
      <c r="A9">
        <v>0.51100000000000001</v>
      </c>
    </row>
    <row r="10" spans="1:12" x14ac:dyDescent="0.3">
      <c r="A10">
        <v>0.51300000000000001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C91F-9824-4C52-9BFD-171A11DA60B2}">
  <dimension ref="A1:E6"/>
  <sheetViews>
    <sheetView tabSelected="1" workbookViewId="0">
      <selection activeCell="E2" sqref="E2:E6"/>
    </sheetView>
  </sheetViews>
  <sheetFormatPr defaultRowHeight="14.4" x14ac:dyDescent="0.3"/>
  <sheetData>
    <row r="1" spans="1:5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">
      <c r="A2">
        <v>11.25</v>
      </c>
      <c r="B2">
        <v>219.8</v>
      </c>
      <c r="C2">
        <v>2905</v>
      </c>
      <c r="D2">
        <v>0.51400000000000001</v>
      </c>
      <c r="E2">
        <f>A2*0.001*$C2/D2*((9.81/(2.202))^(1/2))</f>
        <v>134.20274114111052</v>
      </c>
    </row>
    <row r="3" spans="1:5" x14ac:dyDescent="0.3">
      <c r="A3">
        <v>11.25</v>
      </c>
      <c r="D3">
        <v>0.50600000000000001</v>
      </c>
      <c r="E3">
        <f>A3*0.001*$C2/D3*((9.8/(2.198))^(1/2))</f>
        <v>136.37894802383707</v>
      </c>
    </row>
    <row r="4" spans="1:5" x14ac:dyDescent="0.3">
      <c r="A4">
        <v>11</v>
      </c>
      <c r="D4">
        <v>0.50900000000000001</v>
      </c>
      <c r="E4">
        <f>A4*0.001*$C2/D4*((9.8/(2.198))^(1/2))</f>
        <v>132.56236187743761</v>
      </c>
    </row>
    <row r="5" spans="1:5" x14ac:dyDescent="0.3">
      <c r="A5">
        <v>11</v>
      </c>
      <c r="D5">
        <v>0.51100000000000001</v>
      </c>
      <c r="E5">
        <f>A5*0.001*$C2/D5*((9.8/(2.198))^(1/2))</f>
        <v>132.04352680159633</v>
      </c>
    </row>
    <row r="6" spans="1:5" x14ac:dyDescent="0.3">
      <c r="A6">
        <v>11.25</v>
      </c>
      <c r="D6">
        <v>0.51300000000000001</v>
      </c>
      <c r="E6">
        <f>A6*0.001*$C2/D6*((9.8/(2.198))^(1/2))</f>
        <v>134.518026705773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2024-12-05T06:01:29Z</dcterms:created>
  <dcterms:modified xsi:type="dcterms:W3CDTF">2024-12-05T23:16:49Z</dcterms:modified>
</cp:coreProperties>
</file>