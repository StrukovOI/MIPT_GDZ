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2 6\"/>
    </mc:Choice>
  </mc:AlternateContent>
  <xr:revisionPtr revIDLastSave="0" documentId="13_ncr:1_{B844D124-7EDA-4C21-AC84-EE42A9D9373D}" xr6:coauthVersionLast="47" xr6:coauthVersionMax="47" xr10:uidLastSave="{00000000-0000-0000-0000-000000000000}"/>
  <bookViews>
    <workbookView xWindow="-108" yWindow="-108" windowWidth="23256" windowHeight="13896" activeTab="3" xr2:uid="{58C93929-AB04-49E3-8444-E1E30461047E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2" i="4"/>
  <c r="R3" i="4"/>
  <c r="R4" i="4"/>
  <c r="R5" i="4"/>
  <c r="R6" i="4"/>
  <c r="R7" i="4"/>
  <c r="R8" i="4"/>
  <c r="R9" i="4"/>
  <c r="R10" i="4"/>
  <c r="R11" i="4"/>
  <c r="R2" i="4"/>
  <c r="O3" i="4"/>
  <c r="O4" i="4"/>
  <c r="O5" i="4"/>
  <c r="O6" i="4"/>
  <c r="O7" i="4"/>
  <c r="O8" i="4"/>
  <c r="O9" i="4"/>
  <c r="O10" i="4"/>
  <c r="O11" i="4"/>
  <c r="O2" i="4"/>
  <c r="AK3" i="3"/>
  <c r="AK4" i="3"/>
  <c r="AK5" i="3"/>
  <c r="AK6" i="3"/>
  <c r="AK7" i="3"/>
  <c r="AK8" i="3"/>
  <c r="AK9" i="3"/>
  <c r="AK10" i="3"/>
  <c r="AK11" i="3"/>
  <c r="AK2" i="3"/>
  <c r="S2" i="3"/>
  <c r="S3" i="3"/>
  <c r="S4" i="3"/>
  <c r="S5" i="3"/>
  <c r="S6" i="3"/>
  <c r="S7" i="3"/>
  <c r="S8" i="3"/>
  <c r="S9" i="3"/>
  <c r="S10" i="3"/>
  <c r="S11" i="3"/>
  <c r="W11" i="3" l="1"/>
  <c r="Y11" i="3" s="1"/>
  <c r="K11" i="3"/>
  <c r="AC11" i="3" s="1"/>
  <c r="E11" i="3"/>
  <c r="W10" i="3"/>
  <c r="Y10" i="3" s="1"/>
  <c r="K10" i="3"/>
  <c r="AC10" i="3" s="1"/>
  <c r="E10" i="3"/>
  <c r="W9" i="3"/>
  <c r="Y9" i="3" s="1"/>
  <c r="K9" i="3"/>
  <c r="AC9" i="3" s="1"/>
  <c r="E9" i="3"/>
  <c r="W8" i="3"/>
  <c r="Y8" i="3" s="1"/>
  <c r="K8" i="3"/>
  <c r="AC8" i="3" s="1"/>
  <c r="E8" i="3"/>
  <c r="W7" i="3"/>
  <c r="Y7" i="3" s="1"/>
  <c r="K7" i="3"/>
  <c r="AC7" i="3" s="1"/>
  <c r="E7" i="3"/>
  <c r="W6" i="3"/>
  <c r="Y6" i="3" s="1"/>
  <c r="K6" i="3"/>
  <c r="AC6" i="3" s="1"/>
  <c r="E6" i="3"/>
  <c r="W5" i="3"/>
  <c r="Y5" i="3" s="1"/>
  <c r="K5" i="3"/>
  <c r="AC5" i="3" s="1"/>
  <c r="E5" i="3"/>
  <c r="W4" i="3"/>
  <c r="Y4" i="3" s="1"/>
  <c r="K4" i="3"/>
  <c r="AC4" i="3" s="1"/>
  <c r="E4" i="3"/>
  <c r="W3" i="3"/>
  <c r="Y3" i="3" s="1"/>
  <c r="K3" i="3"/>
  <c r="AC3" i="3" s="1"/>
  <c r="E3" i="3"/>
  <c r="W2" i="3"/>
  <c r="Y2" i="3" s="1"/>
  <c r="K2" i="3"/>
  <c r="AC2" i="3" s="1"/>
  <c r="E2" i="3"/>
  <c r="V11" i="2"/>
  <c r="U11" i="2"/>
  <c r="S11" i="2"/>
  <c r="R11" i="2"/>
  <c r="Q11" i="2"/>
  <c r="P11" i="2"/>
  <c r="O11" i="2"/>
  <c r="J11" i="2"/>
  <c r="I11" i="2"/>
  <c r="H11" i="2"/>
  <c r="G11" i="2"/>
  <c r="F11" i="2"/>
  <c r="E11" i="2"/>
  <c r="D11" i="2"/>
  <c r="V10" i="2"/>
  <c r="U10" i="2"/>
  <c r="S10" i="2"/>
  <c r="R10" i="2"/>
  <c r="Q10" i="2"/>
  <c r="P10" i="2"/>
  <c r="O10" i="2"/>
  <c r="N10" i="2"/>
  <c r="M10" i="2"/>
  <c r="J10" i="2"/>
  <c r="I10" i="2"/>
  <c r="H10" i="2"/>
  <c r="G10" i="2"/>
  <c r="F10" i="2"/>
  <c r="E10" i="2"/>
  <c r="D10" i="2"/>
  <c r="V9" i="2"/>
  <c r="U9" i="2"/>
  <c r="S9" i="2"/>
  <c r="R9" i="2"/>
  <c r="Q9" i="2"/>
  <c r="P9" i="2"/>
  <c r="O9" i="2"/>
  <c r="J9" i="2"/>
  <c r="I9" i="2"/>
  <c r="H9" i="2"/>
  <c r="G9" i="2"/>
  <c r="F9" i="2"/>
  <c r="E9" i="2"/>
  <c r="D9" i="2"/>
  <c r="V8" i="2"/>
  <c r="U8" i="2"/>
  <c r="S8" i="2"/>
  <c r="R8" i="2"/>
  <c r="Q8" i="2"/>
  <c r="P8" i="2"/>
  <c r="O8" i="2"/>
  <c r="M8" i="2"/>
  <c r="J8" i="2"/>
  <c r="I8" i="2"/>
  <c r="H8" i="2"/>
  <c r="G8" i="2"/>
  <c r="F8" i="2"/>
  <c r="E8" i="2"/>
  <c r="D8" i="2"/>
  <c r="V7" i="2"/>
  <c r="U7" i="2"/>
  <c r="S7" i="2"/>
  <c r="R7" i="2"/>
  <c r="Q7" i="2"/>
  <c r="P7" i="2"/>
  <c r="O7" i="2"/>
  <c r="N7" i="2"/>
  <c r="M7" i="2"/>
  <c r="J7" i="2"/>
  <c r="I7" i="2"/>
  <c r="H7" i="2"/>
  <c r="G7" i="2"/>
  <c r="F7" i="2"/>
  <c r="E7" i="2"/>
  <c r="D7" i="2"/>
  <c r="V6" i="2"/>
  <c r="U6" i="2"/>
  <c r="S6" i="2"/>
  <c r="R6" i="2"/>
  <c r="Q6" i="2"/>
  <c r="P6" i="2"/>
  <c r="O6" i="2"/>
  <c r="J6" i="2"/>
  <c r="I6" i="2"/>
  <c r="H6" i="2"/>
  <c r="G6" i="2"/>
  <c r="F6" i="2"/>
  <c r="E6" i="2"/>
  <c r="V5" i="2"/>
  <c r="U5" i="2"/>
  <c r="S5" i="2"/>
  <c r="R5" i="2"/>
  <c r="Q5" i="2"/>
  <c r="P5" i="2"/>
  <c r="O5" i="2"/>
  <c r="J5" i="2"/>
  <c r="I5" i="2"/>
  <c r="H5" i="2"/>
  <c r="G5" i="2"/>
  <c r="F5" i="2"/>
  <c r="E5" i="2"/>
  <c r="D5" i="2"/>
  <c r="V4" i="2"/>
  <c r="U4" i="2"/>
  <c r="S4" i="2"/>
  <c r="R4" i="2"/>
  <c r="Q4" i="2"/>
  <c r="P4" i="2"/>
  <c r="O4" i="2"/>
  <c r="N4" i="2"/>
  <c r="M4" i="2"/>
  <c r="J4" i="2"/>
  <c r="I4" i="2"/>
  <c r="H4" i="2"/>
  <c r="G4" i="2"/>
  <c r="F4" i="2"/>
  <c r="D4" i="2"/>
  <c r="V3" i="2"/>
  <c r="U3" i="2"/>
  <c r="S3" i="2"/>
  <c r="R3" i="2"/>
  <c r="Q3" i="2"/>
  <c r="P3" i="2"/>
  <c r="O3" i="2"/>
  <c r="N3" i="2"/>
  <c r="M3" i="2"/>
  <c r="J3" i="2"/>
  <c r="I3" i="2"/>
  <c r="H3" i="2"/>
  <c r="G3" i="2"/>
  <c r="F3" i="2"/>
  <c r="E3" i="2"/>
  <c r="D3" i="2"/>
  <c r="V2" i="2"/>
  <c r="U2" i="2"/>
  <c r="S2" i="2"/>
  <c r="R2" i="2"/>
  <c r="Q2" i="2"/>
  <c r="P2" i="2"/>
  <c r="O2" i="2"/>
  <c r="N2" i="2"/>
  <c r="M2" i="2"/>
  <c r="J2" i="2"/>
  <c r="I2" i="2"/>
  <c r="H2" i="2"/>
  <c r="G2" i="2"/>
  <c r="F2" i="2"/>
  <c r="E2" i="2"/>
  <c r="D2" i="2"/>
  <c r="G4" i="3" l="1"/>
  <c r="G10" i="3"/>
  <c r="G7" i="3"/>
  <c r="G8" i="3"/>
  <c r="G3" i="3"/>
  <c r="G11" i="3"/>
  <c r="H9" i="3"/>
  <c r="N9" i="3" s="1"/>
  <c r="O9" i="3" s="1"/>
  <c r="G9" i="3"/>
  <c r="H2" i="3"/>
  <c r="N2" i="3" s="1"/>
  <c r="O2" i="3" s="1"/>
  <c r="G2" i="3"/>
  <c r="H5" i="3"/>
  <c r="N5" i="3" s="1"/>
  <c r="O5" i="3" s="1"/>
  <c r="G5" i="3"/>
  <c r="H6" i="3"/>
  <c r="G6" i="3"/>
  <c r="Z2" i="3"/>
  <c r="X2" i="3"/>
  <c r="F7" i="3"/>
  <c r="H7" i="3"/>
  <c r="F8" i="3"/>
  <c r="H8" i="3"/>
  <c r="I8" i="3" s="1"/>
  <c r="X3" i="3"/>
  <c r="Z3" i="3"/>
  <c r="AA3" i="3" s="1"/>
  <c r="F10" i="3"/>
  <c r="H10" i="3"/>
  <c r="Z5" i="3"/>
  <c r="X5" i="3"/>
  <c r="F11" i="3"/>
  <c r="H11" i="3"/>
  <c r="L11" i="3" s="1"/>
  <c r="F4" i="3"/>
  <c r="H4" i="3"/>
  <c r="Z9" i="3"/>
  <c r="X9" i="3"/>
  <c r="Z4" i="3"/>
  <c r="X4" i="3"/>
  <c r="Z10" i="3"/>
  <c r="X10" i="3"/>
  <c r="Z6" i="3"/>
  <c r="X6" i="3"/>
  <c r="Z7" i="3"/>
  <c r="X7" i="3"/>
  <c r="F3" i="3"/>
  <c r="H3" i="3"/>
  <c r="Z8" i="3"/>
  <c r="X8" i="3"/>
  <c r="Z11" i="3"/>
  <c r="X11" i="3"/>
  <c r="F9" i="3"/>
  <c r="F2" i="3"/>
  <c r="F6" i="3"/>
  <c r="F5" i="3"/>
  <c r="J9" i="3" l="1"/>
  <c r="L2" i="3"/>
  <c r="J5" i="3"/>
  <c r="L5" i="3"/>
  <c r="AA7" i="3"/>
  <c r="AA6" i="3"/>
  <c r="AA4" i="3"/>
  <c r="Q5" i="3"/>
  <c r="R5" i="3" s="1"/>
  <c r="I11" i="3"/>
  <c r="M11" i="3" s="1"/>
  <c r="AA5" i="3"/>
  <c r="AA10" i="3"/>
  <c r="Q9" i="3"/>
  <c r="R9" i="3" s="1"/>
  <c r="Q2" i="3"/>
  <c r="R2" i="3" s="1"/>
  <c r="AA2" i="3"/>
  <c r="AA11" i="3"/>
  <c r="AA9" i="3"/>
  <c r="I2" i="3"/>
  <c r="P2" i="3" s="1"/>
  <c r="AA8" i="3"/>
  <c r="L9" i="3"/>
  <c r="AF2" i="3"/>
  <c r="AD11" i="3"/>
  <c r="AF9" i="3"/>
  <c r="J6" i="3"/>
  <c r="I6" i="3"/>
  <c r="L3" i="3"/>
  <c r="I3" i="3"/>
  <c r="AD6" i="3"/>
  <c r="AE6" i="3" s="1"/>
  <c r="L7" i="3"/>
  <c r="I7" i="3"/>
  <c r="AD5" i="3"/>
  <c r="J2" i="3"/>
  <c r="AD3" i="3"/>
  <c r="AE3" i="3" s="1"/>
  <c r="AF8" i="3"/>
  <c r="L10" i="3"/>
  <c r="I10" i="3"/>
  <c r="L4" i="3"/>
  <c r="I4" i="3"/>
  <c r="I5" i="3"/>
  <c r="P5" i="3" s="1"/>
  <c r="AF7" i="3"/>
  <c r="I9" i="3"/>
  <c r="P9" i="3" s="1"/>
  <c r="AB9" i="3"/>
  <c r="AD9" i="3"/>
  <c r="AB2" i="3"/>
  <c r="N6" i="3"/>
  <c r="L6" i="3"/>
  <c r="M6" i="3" s="1"/>
  <c r="AD2" i="3"/>
  <c r="AE2" i="3" s="1"/>
  <c r="AB8" i="3"/>
  <c r="AD7" i="3"/>
  <c r="AD8" i="3"/>
  <c r="AB7" i="3"/>
  <c r="AF11" i="3"/>
  <c r="AB11" i="3"/>
  <c r="N11" i="3"/>
  <c r="J11" i="3"/>
  <c r="AF10" i="3"/>
  <c r="AB10" i="3"/>
  <c r="AF4" i="3"/>
  <c r="AB4" i="3"/>
  <c r="N8" i="3"/>
  <c r="J8" i="3"/>
  <c r="AD10" i="3"/>
  <c r="AE10" i="3" s="1"/>
  <c r="N4" i="3"/>
  <c r="J4" i="3"/>
  <c r="N7" i="3"/>
  <c r="J7" i="3"/>
  <c r="AF6" i="3"/>
  <c r="AB6" i="3"/>
  <c r="J3" i="3"/>
  <c r="N3" i="3"/>
  <c r="J10" i="3"/>
  <c r="N10" i="3"/>
  <c r="L8" i="3"/>
  <c r="M8" i="3" s="1"/>
  <c r="AF3" i="3"/>
  <c r="AB3" i="3"/>
  <c r="AB5" i="3"/>
  <c r="AF5" i="3"/>
  <c r="AD4" i="3"/>
  <c r="AE4" i="3" s="1"/>
  <c r="AE9" i="3" l="1"/>
  <c r="AE8" i="3"/>
  <c r="AE5" i="3"/>
  <c r="AE11" i="3"/>
  <c r="AE7" i="3"/>
  <c r="M3" i="3"/>
  <c r="M7" i="3"/>
  <c r="M4" i="3"/>
  <c r="M5" i="3"/>
  <c r="M9" i="3"/>
  <c r="M10" i="3"/>
  <c r="M2" i="3"/>
  <c r="AG4" i="3"/>
  <c r="AH4" i="3" s="1"/>
  <c r="AI4" i="3"/>
  <c r="AJ4" i="3" s="1"/>
  <c r="AG10" i="3"/>
  <c r="AH10" i="3" s="1"/>
  <c r="AI10" i="3"/>
  <c r="AJ10" i="3" s="1"/>
  <c r="AI2" i="3"/>
  <c r="AJ2" i="3" s="1"/>
  <c r="AG2" i="3"/>
  <c r="AH2" i="3" s="1"/>
  <c r="AG3" i="3"/>
  <c r="AH3" i="3" s="1"/>
  <c r="AI3" i="3"/>
  <c r="AJ3" i="3" s="1"/>
  <c r="AG7" i="3"/>
  <c r="AH7" i="3" s="1"/>
  <c r="AI7" i="3"/>
  <c r="AJ7" i="3" s="1"/>
  <c r="AI9" i="3"/>
  <c r="AJ9" i="3" s="1"/>
  <c r="AG9" i="3"/>
  <c r="AH9" i="3" s="1"/>
  <c r="AI11" i="3"/>
  <c r="AJ11" i="3" s="1"/>
  <c r="AG11" i="3"/>
  <c r="AH11" i="3" s="1"/>
  <c r="AG8" i="3"/>
  <c r="AH8" i="3" s="1"/>
  <c r="AI8" i="3"/>
  <c r="AJ8" i="3" s="1"/>
  <c r="AG5" i="3"/>
  <c r="AH5" i="3" s="1"/>
  <c r="AI5" i="3"/>
  <c r="AJ5" i="3" s="1"/>
  <c r="AG6" i="3"/>
  <c r="AH6" i="3" s="1"/>
  <c r="AI6" i="3"/>
  <c r="AJ6" i="3" s="1"/>
  <c r="O3" i="3"/>
  <c r="P3" i="3" s="1"/>
  <c r="Q3" i="3"/>
  <c r="R3" i="3" s="1"/>
  <c r="O11" i="3"/>
  <c r="P11" i="3" s="1"/>
  <c r="Q11" i="3"/>
  <c r="R11" i="3" s="1"/>
  <c r="O4" i="3"/>
  <c r="P4" i="3" s="1"/>
  <c r="Q4" i="3"/>
  <c r="R4" i="3" s="1"/>
  <c r="O6" i="3"/>
  <c r="P6" i="3" s="1"/>
  <c r="Q6" i="3"/>
  <c r="R6" i="3" s="1"/>
  <c r="O7" i="3"/>
  <c r="P7" i="3" s="1"/>
  <c r="Q7" i="3"/>
  <c r="R7" i="3" s="1"/>
  <c r="O8" i="3"/>
  <c r="P8" i="3" s="1"/>
  <c r="Q8" i="3"/>
  <c r="R8" i="3" s="1"/>
  <c r="O10" i="3"/>
  <c r="P10" i="3" s="1"/>
  <c r="Q10" i="3"/>
  <c r="R10" i="3" s="1"/>
</calcChain>
</file>

<file path=xl/sharedStrings.xml><?xml version="1.0" encoding="utf-8"?>
<sst xmlns="http://schemas.openxmlformats.org/spreadsheetml/2006/main" count="62" uniqueCount="39">
  <si>
    <t>стекло</t>
  </si>
  <si>
    <t>диаметр, мм</t>
  </si>
  <si>
    <t>металл</t>
  </si>
  <si>
    <t>температура</t>
  </si>
  <si>
    <t>5,4 - 5,3</t>
  </si>
  <si>
    <t>расстояние между 2 и 3</t>
  </si>
  <si>
    <t>10 см</t>
  </si>
  <si>
    <t>1 и 2</t>
  </si>
  <si>
    <t xml:space="preserve">диаметр </t>
  </si>
  <si>
    <t>2,8 см</t>
  </si>
  <si>
    <t>сталь</t>
  </si>
  <si>
    <t>v1</t>
  </si>
  <si>
    <t>v2</t>
  </si>
  <si>
    <t>v3</t>
  </si>
  <si>
    <t>v4</t>
  </si>
  <si>
    <t>Температура</t>
  </si>
  <si>
    <t>Плотность</t>
  </si>
  <si>
    <t>вязкость</t>
  </si>
  <si>
    <t>лн</t>
  </si>
  <si>
    <t>1/T</t>
  </si>
  <si>
    <t>ln</t>
  </si>
  <si>
    <t>v</t>
  </si>
  <si>
    <t>Сталь</t>
  </si>
  <si>
    <t>Re</t>
  </si>
  <si>
    <t>релаксация</t>
  </si>
  <si>
    <t>Ре</t>
  </si>
  <si>
    <t>Путь рел</t>
  </si>
  <si>
    <t>10^3</t>
  </si>
  <si>
    <t>10*3</t>
  </si>
  <si>
    <t>сигма в</t>
  </si>
  <si>
    <t>sigma v</t>
  </si>
  <si>
    <t>сигма</t>
  </si>
  <si>
    <t>sigma</t>
  </si>
  <si>
    <t>10 6</t>
  </si>
  <si>
    <t>ре</t>
  </si>
  <si>
    <t>сигма*1000</t>
  </si>
  <si>
    <t>sigma*1000</t>
  </si>
  <si>
    <t>сигма 10 6</t>
  </si>
  <si>
    <t>sigma 10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</si>
</sst>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Стекло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Лист2!$F$2:$F$11</c:f>
              <c:numCache>
                <c:formatCode>General</c:formatCode>
                <c:ptCount val="10"/>
                <c:pt idx="0">
                  <c:v>3.4831069313827944E-3</c:v>
                </c:pt>
                <c:pt idx="1">
                  <c:v>3.4698126301179748E-3</c:v>
                </c:pt>
                <c:pt idx="2">
                  <c:v>5.7836899942163116E-3</c:v>
                </c:pt>
                <c:pt idx="3">
                  <c:v>6.0827250608272493E-3</c:v>
                </c:pt>
                <c:pt idx="4">
                  <c:v>7.7700077700077709E-3</c:v>
                </c:pt>
                <c:pt idx="5">
                  <c:v>7.9936051159072759E-3</c:v>
                </c:pt>
                <c:pt idx="6">
                  <c:v>1.2820512820512825E-2</c:v>
                </c:pt>
                <c:pt idx="7">
                  <c:v>1.3123359580052511E-2</c:v>
                </c:pt>
                <c:pt idx="8">
                  <c:v>2.3255813953488313E-2</c:v>
                </c:pt>
                <c:pt idx="9">
                  <c:v>2.3094688221708997E-2</c:v>
                </c:pt>
              </c:numCache>
            </c:numRef>
          </c:xVal>
          <c:yVal>
            <c:numRef>
              <c:f>Лист2!$B$2:$B$11</c:f>
              <c:numCache>
                <c:formatCode>General</c:formatCode>
                <c:ptCount val="10"/>
                <c:pt idx="0">
                  <c:v>1258</c:v>
                </c:pt>
                <c:pt idx="1">
                  <c:v>1258</c:v>
                </c:pt>
                <c:pt idx="2">
                  <c:v>1254.5</c:v>
                </c:pt>
                <c:pt idx="3">
                  <c:v>1254.5</c:v>
                </c:pt>
                <c:pt idx="4">
                  <c:v>1252.5</c:v>
                </c:pt>
                <c:pt idx="5">
                  <c:v>1252.5</c:v>
                </c:pt>
                <c:pt idx="6">
                  <c:v>1250.5</c:v>
                </c:pt>
                <c:pt idx="7">
                  <c:v>1250.5</c:v>
                </c:pt>
                <c:pt idx="8">
                  <c:v>1247</c:v>
                </c:pt>
                <c:pt idx="9">
                  <c:v>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C-4EFC-8EF7-E2FA832DB4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Лист2!$G$2:$G$11</c:f>
              <c:numCache>
                <c:formatCode>General</c:formatCode>
                <c:ptCount val="10"/>
                <c:pt idx="0">
                  <c:v>3.3854998403066109E-3</c:v>
                </c:pt>
                <c:pt idx="1">
                  <c:v>3.2277710109622406E-3</c:v>
                </c:pt>
                <c:pt idx="2">
                  <c:v>5.4358974358974356E-3</c:v>
                </c:pt>
                <c:pt idx="3">
                  <c:v>5.7955166757791146E-3</c:v>
                </c:pt>
                <c:pt idx="4">
                  <c:v>7.8693392724573097E-3</c:v>
                </c:pt>
                <c:pt idx="5">
                  <c:v>8.0303030303030334E-3</c:v>
                </c:pt>
                <c:pt idx="6">
                  <c:v>1.2942612942612945E-2</c:v>
                </c:pt>
                <c:pt idx="7">
                  <c:v>1.326658322903628E-2</c:v>
                </c:pt>
                <c:pt idx="8">
                  <c:v>2.2844827586206894E-2</c:v>
                </c:pt>
                <c:pt idx="9">
                  <c:v>2.3144104803493458E-2</c:v>
                </c:pt>
              </c:numCache>
            </c:numRef>
          </c:xVal>
          <c:yVal>
            <c:numRef>
              <c:f>Лист2!$B$2:$B$11</c:f>
              <c:numCache>
                <c:formatCode>General</c:formatCode>
                <c:ptCount val="10"/>
                <c:pt idx="0">
                  <c:v>1258</c:v>
                </c:pt>
                <c:pt idx="1">
                  <c:v>1258</c:v>
                </c:pt>
                <c:pt idx="2">
                  <c:v>1254.5</c:v>
                </c:pt>
                <c:pt idx="3">
                  <c:v>1254.5</c:v>
                </c:pt>
                <c:pt idx="4">
                  <c:v>1252.5</c:v>
                </c:pt>
                <c:pt idx="5">
                  <c:v>1252.5</c:v>
                </c:pt>
                <c:pt idx="6">
                  <c:v>1250.5</c:v>
                </c:pt>
                <c:pt idx="7">
                  <c:v>1250.5</c:v>
                </c:pt>
                <c:pt idx="8">
                  <c:v>1247</c:v>
                </c:pt>
                <c:pt idx="9">
                  <c:v>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0C-4EFC-8EF7-E2FA832D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170928"/>
        <c:axId val="2071169008"/>
      </c:scatterChart>
      <c:valAx>
        <c:axId val="207117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1169008"/>
        <c:crosses val="autoZero"/>
        <c:crossBetween val="midCat"/>
      </c:valAx>
      <c:valAx>
        <c:axId val="20711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117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Лист2!$O$2:$O$11</c:f>
              <c:numCache>
                <c:formatCode>General</c:formatCode>
                <c:ptCount val="10"/>
                <c:pt idx="0">
                  <c:v>3.1735956839098697E-3</c:v>
                </c:pt>
                <c:pt idx="1">
                  <c:v>3.1938677738741613E-3</c:v>
                </c:pt>
                <c:pt idx="2">
                  <c:v>5.3763440860215075E-3</c:v>
                </c:pt>
                <c:pt idx="3">
                  <c:v>5.4734537493158191E-3</c:v>
                </c:pt>
                <c:pt idx="4">
                  <c:v>6.0496067755595887E-3</c:v>
                </c:pt>
                <c:pt idx="5">
                  <c:v>6.2111801242235995E-3</c:v>
                </c:pt>
                <c:pt idx="6">
                  <c:v>6.8493150684931503E-3</c:v>
                </c:pt>
                <c:pt idx="7">
                  <c:v>7.199424046076314E-3</c:v>
                </c:pt>
                <c:pt idx="8">
                  <c:v>1.3908205841446456E-2</c:v>
                </c:pt>
                <c:pt idx="9">
                  <c:v>1.4577259475218658E-2</c:v>
                </c:pt>
              </c:numCache>
            </c:numRef>
          </c:xVal>
          <c:yVal>
            <c:numRef>
              <c:f>Лист2!$B$2:$B$11</c:f>
              <c:numCache>
                <c:formatCode>General</c:formatCode>
                <c:ptCount val="10"/>
                <c:pt idx="0">
                  <c:v>1258</c:v>
                </c:pt>
                <c:pt idx="1">
                  <c:v>1258</c:v>
                </c:pt>
                <c:pt idx="2">
                  <c:v>1254.5</c:v>
                </c:pt>
                <c:pt idx="3">
                  <c:v>1254.5</c:v>
                </c:pt>
                <c:pt idx="4">
                  <c:v>1252.5</c:v>
                </c:pt>
                <c:pt idx="5">
                  <c:v>1252.5</c:v>
                </c:pt>
                <c:pt idx="6">
                  <c:v>1250.5</c:v>
                </c:pt>
                <c:pt idx="7">
                  <c:v>1250.5</c:v>
                </c:pt>
                <c:pt idx="8">
                  <c:v>1247</c:v>
                </c:pt>
                <c:pt idx="9">
                  <c:v>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E-44D3-A53D-9A649A0CD5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Лист2!$P$2:$P$11</c:f>
              <c:numCache>
                <c:formatCode>General</c:formatCode>
                <c:ptCount val="10"/>
                <c:pt idx="0">
                  <c:v>3.0697943816970748E-3</c:v>
                </c:pt>
                <c:pt idx="1">
                  <c:v>3.0706836616454219E-3</c:v>
                </c:pt>
                <c:pt idx="2">
                  <c:v>5.2216748768472874E-3</c:v>
                </c:pt>
                <c:pt idx="3">
                  <c:v>5.4109239407861155E-3</c:v>
                </c:pt>
                <c:pt idx="4">
                  <c:v>5.9550561797752808E-3</c:v>
                </c:pt>
                <c:pt idx="5">
                  <c:v>6.3245823389021516E-3</c:v>
                </c:pt>
                <c:pt idx="6">
                  <c:v>6.9553805774278214E-3</c:v>
                </c:pt>
                <c:pt idx="7">
                  <c:v>7.3356401384083048E-3</c:v>
                </c:pt>
                <c:pt idx="8">
                  <c:v>1.4247311827956986E-2</c:v>
                </c:pt>
                <c:pt idx="9">
                  <c:v>1.4845938375350141E-2</c:v>
                </c:pt>
              </c:numCache>
            </c:numRef>
          </c:xVal>
          <c:yVal>
            <c:numRef>
              <c:f>Лист2!$B$2:$B$11</c:f>
              <c:numCache>
                <c:formatCode>General</c:formatCode>
                <c:ptCount val="10"/>
                <c:pt idx="0">
                  <c:v>1258</c:v>
                </c:pt>
                <c:pt idx="1">
                  <c:v>1258</c:v>
                </c:pt>
                <c:pt idx="2">
                  <c:v>1254.5</c:v>
                </c:pt>
                <c:pt idx="3">
                  <c:v>1254.5</c:v>
                </c:pt>
                <c:pt idx="4">
                  <c:v>1252.5</c:v>
                </c:pt>
                <c:pt idx="5">
                  <c:v>1252.5</c:v>
                </c:pt>
                <c:pt idx="6">
                  <c:v>1250.5</c:v>
                </c:pt>
                <c:pt idx="7">
                  <c:v>1250.5</c:v>
                </c:pt>
                <c:pt idx="8">
                  <c:v>1247</c:v>
                </c:pt>
                <c:pt idx="9">
                  <c:v>1247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2E-44D3-A53D-9A649A0C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414576"/>
        <c:axId val="1866415056"/>
      </c:scatterChart>
      <c:valAx>
        <c:axId val="18664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415056"/>
        <c:crosses val="autoZero"/>
        <c:crossBetween val="midCat"/>
      </c:valAx>
      <c:valAx>
        <c:axId val="18664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41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Лист2!$I$2:$I$11</c:f>
              <c:numCache>
                <c:formatCode>General</c:formatCode>
                <c:ptCount val="10"/>
                <c:pt idx="0">
                  <c:v>1.2461084435439274</c:v>
                </c:pt>
                <c:pt idx="1">
                  <c:v>1.3643629508389559</c:v>
                </c:pt>
                <c:pt idx="2">
                  <c:v>0.66074234321713599</c:v>
                </c:pt>
                <c:pt idx="3">
                  <c:v>0.79421553279761625</c:v>
                </c:pt>
                <c:pt idx="4">
                  <c:v>0.33021797958181087</c:v>
                </c:pt>
                <c:pt idx="5">
                  <c:v>0.49644646064939296</c:v>
                </c:pt>
                <c:pt idx="6">
                  <c:v>-2.2793022678132713E-2</c:v>
                </c:pt>
                <c:pt idx="7">
                  <c:v>-8.5182489654657791E-4</c:v>
                </c:pt>
                <c:pt idx="8">
                  <c:v>-0.64893944343451249</c:v>
                </c:pt>
                <c:pt idx="9">
                  <c:v>-0.6048707040732908</c:v>
                </c:pt>
              </c:numCache>
            </c:numRef>
          </c:xVal>
          <c:yVal>
            <c:numRef>
              <c:f>Лист2!$J$2:$J$11</c:f>
              <c:numCache>
                <c:formatCode>General</c:formatCode>
                <c:ptCount val="10"/>
                <c:pt idx="0">
                  <c:v>3.3795201081446439E-3</c:v>
                </c:pt>
                <c:pt idx="1">
                  <c:v>3.3795201081446439E-3</c:v>
                </c:pt>
                <c:pt idx="2">
                  <c:v>3.29077267342372E-3</c:v>
                </c:pt>
                <c:pt idx="3">
                  <c:v>3.29077267342372E-3</c:v>
                </c:pt>
                <c:pt idx="4">
                  <c:v>3.2160545442850713E-3</c:v>
                </c:pt>
                <c:pt idx="5">
                  <c:v>3.2160545442850713E-3</c:v>
                </c:pt>
                <c:pt idx="6">
                  <c:v>3.155569580309246E-3</c:v>
                </c:pt>
                <c:pt idx="7">
                  <c:v>3.155569580309246E-3</c:v>
                </c:pt>
                <c:pt idx="8">
                  <c:v>3.0931023816888337E-3</c:v>
                </c:pt>
                <c:pt idx="9">
                  <c:v>3.0931023816888337E-3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7-4310-9A60-4204B632B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14416"/>
        <c:axId val="287510096"/>
      </c:scatterChart>
      <c:valAx>
        <c:axId val="28751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10096"/>
        <c:crosses val="autoZero"/>
        <c:crossBetween val="midCat"/>
      </c:valAx>
      <c:valAx>
        <c:axId val="2875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1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Лист2!$R$2:$R$11</c:f>
              <c:numCache>
                <c:formatCode>General</c:formatCode>
                <c:ptCount val="10"/>
                <c:pt idx="0">
                  <c:v>1.0729045692456889</c:v>
                </c:pt>
                <c:pt idx="1">
                  <c:v>0.94044385426934896</c:v>
                </c:pt>
                <c:pt idx="2">
                  <c:v>0.66554489564695229</c:v>
                </c:pt>
                <c:pt idx="3">
                  <c:v>0.59126216989114166</c:v>
                </c:pt>
                <c:pt idx="4">
                  <c:v>0.82585478620389963</c:v>
                </c:pt>
                <c:pt idx="5">
                  <c:v>0.37668269563666601</c:v>
                </c:pt>
                <c:pt idx="6">
                  <c:v>1.3502081855447302E-2</c:v>
                </c:pt>
                <c:pt idx="7">
                  <c:v>-0.18626901382670308</c:v>
                </c:pt>
                <c:pt idx="8">
                  <c:v>-0.56071247243387434</c:v>
                </c:pt>
                <c:pt idx="9">
                  <c:v>-0.35442624732782735</c:v>
                </c:pt>
              </c:numCache>
            </c:numRef>
          </c:xVal>
          <c:yVal>
            <c:numRef>
              <c:f>Лист2!$S$2:$S$11</c:f>
              <c:numCache>
                <c:formatCode>General</c:formatCode>
                <c:ptCount val="10"/>
                <c:pt idx="0">
                  <c:v>3.3795201081446439E-3</c:v>
                </c:pt>
                <c:pt idx="1">
                  <c:v>3.3795201081446439E-3</c:v>
                </c:pt>
                <c:pt idx="2">
                  <c:v>3.29077267342372E-3</c:v>
                </c:pt>
                <c:pt idx="3">
                  <c:v>3.29077267342372E-3</c:v>
                </c:pt>
                <c:pt idx="4">
                  <c:v>3.2160545442850713E-3</c:v>
                </c:pt>
                <c:pt idx="5">
                  <c:v>3.2160545442850713E-3</c:v>
                </c:pt>
                <c:pt idx="6">
                  <c:v>3.155569580309246E-3</c:v>
                </c:pt>
                <c:pt idx="7">
                  <c:v>3.155569580309246E-3</c:v>
                </c:pt>
                <c:pt idx="8">
                  <c:v>3.0931023816888337E-3</c:v>
                </c:pt>
                <c:pt idx="9">
                  <c:v>3.0931023816888337E-3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A-4EFB-856A-F6B414ADA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29776"/>
        <c:axId val="287534576"/>
      </c:scatterChart>
      <c:valAx>
        <c:axId val="2875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34576"/>
        <c:crosses val="autoZero"/>
        <c:crossBetween val="midCat"/>
      </c:valAx>
      <c:valAx>
        <c:axId val="287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Стекло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Лист3!$J$2:$J$11</c:f>
              <c:numCache>
                <c:formatCode>General</c:formatCode>
                <c:ptCount val="10"/>
                <c:pt idx="0">
                  <c:v>6.779780431931079</c:v>
                </c:pt>
                <c:pt idx="1">
                  <c:v>6.8914210973704142</c:v>
                </c:pt>
                <c:pt idx="2">
                  <c:v>6.1840671093304183</c:v>
                </c:pt>
                <c:pt idx="3">
                  <c:v>6.2709862326288865</c:v>
                </c:pt>
                <c:pt idx="4">
                  <c:v>5.8128297080301667</c:v>
                </c:pt>
                <c:pt idx="5">
                  <c:v>5.8605525561690337</c:v>
                </c:pt>
                <c:pt idx="6">
                  <c:v>5.5445313447409363</c:v>
                </c:pt>
                <c:pt idx="7">
                  <c:v>5.454274952748384</c:v>
                </c:pt>
                <c:pt idx="8">
                  <c:v>4.8728605804317731</c:v>
                </c:pt>
                <c:pt idx="9">
                  <c:v>4.9165602275494553</c:v>
                </c:pt>
              </c:numCache>
            </c:numRef>
          </c:xVal>
          <c:yVal>
            <c:numRef>
              <c:f>Лист3!$K$2:$K$11</c:f>
              <c:numCache>
                <c:formatCode>General</c:formatCode>
                <c:ptCount val="10"/>
                <c:pt idx="0">
                  <c:v>3.3795201081446439E-3</c:v>
                </c:pt>
                <c:pt idx="1">
                  <c:v>3.3795201081446439E-3</c:v>
                </c:pt>
                <c:pt idx="2">
                  <c:v>3.29077267342372E-3</c:v>
                </c:pt>
                <c:pt idx="3">
                  <c:v>3.29077267342372E-3</c:v>
                </c:pt>
                <c:pt idx="4">
                  <c:v>3.2212343770132716E-3</c:v>
                </c:pt>
                <c:pt idx="5">
                  <c:v>3.2212343770132716E-3</c:v>
                </c:pt>
                <c:pt idx="6">
                  <c:v>3.1635558367605187E-3</c:v>
                </c:pt>
                <c:pt idx="7">
                  <c:v>3.1635558367605187E-3</c:v>
                </c:pt>
                <c:pt idx="8">
                  <c:v>3.0931023816888337E-3</c:v>
                </c:pt>
                <c:pt idx="9">
                  <c:v>3.0931023816888337E-3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A-41A9-A08A-3D113F21E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11536"/>
        <c:axId val="287524496"/>
      </c:scatterChart>
      <c:valAx>
        <c:axId val="287511536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24496"/>
        <c:crosses val="autoZero"/>
        <c:crossBetween val="midCat"/>
      </c:valAx>
      <c:valAx>
        <c:axId val="2875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751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Лист3!$AB$2:$AB$11</c:f>
              <c:numCache>
                <c:formatCode>General</c:formatCode>
                <c:ptCount val="10"/>
                <c:pt idx="0">
                  <c:v>6.6424441826694443</c:v>
                </c:pt>
                <c:pt idx="1">
                  <c:v>6.7431192709522936</c:v>
                </c:pt>
                <c:pt idx="2">
                  <c:v>6.1876438081405309</c:v>
                </c:pt>
                <c:pt idx="3">
                  <c:v>6.2801302470640312</c:v>
                </c:pt>
                <c:pt idx="4">
                  <c:v>5.8947423615904402</c:v>
                </c:pt>
                <c:pt idx="5">
                  <c:v>5.8351666675799887</c:v>
                </c:pt>
                <c:pt idx="6">
                  <c:v>5.5381438278432471</c:v>
                </c:pt>
                <c:pt idx="7">
                  <c:v>5.4968903218429634</c:v>
                </c:pt>
                <c:pt idx="8">
                  <c:v>4.9605426560594941</c:v>
                </c:pt>
                <c:pt idx="9">
                  <c:v>5.0772398978610447</c:v>
                </c:pt>
              </c:numCache>
            </c:numRef>
          </c:xVal>
          <c:yVal>
            <c:numRef>
              <c:f>Лист3!$AC$2:$AC$11</c:f>
              <c:numCache>
                <c:formatCode>General</c:formatCode>
                <c:ptCount val="10"/>
                <c:pt idx="0">
                  <c:v>3.3795201081446439E-3</c:v>
                </c:pt>
                <c:pt idx="1">
                  <c:v>3.3795201081446439E-3</c:v>
                </c:pt>
                <c:pt idx="2">
                  <c:v>3.29077267342372E-3</c:v>
                </c:pt>
                <c:pt idx="3">
                  <c:v>3.29077267342372E-3</c:v>
                </c:pt>
                <c:pt idx="4">
                  <c:v>3.2212343770132716E-3</c:v>
                </c:pt>
                <c:pt idx="5">
                  <c:v>3.2212343770132716E-3</c:v>
                </c:pt>
                <c:pt idx="6">
                  <c:v>3.1635558367605187E-3</c:v>
                </c:pt>
                <c:pt idx="7">
                  <c:v>3.1635558367605187E-3</c:v>
                </c:pt>
                <c:pt idx="8">
                  <c:v>3.0931023816888337E-3</c:v>
                </c:pt>
                <c:pt idx="9">
                  <c:v>3.0931023816888337E-3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A-4907-8985-FC28B479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414576"/>
        <c:axId val="1866416016"/>
      </c:scatterChart>
      <c:valAx>
        <c:axId val="1866414576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416016"/>
        <c:crosses val="autoZero"/>
        <c:crossBetween val="midCat"/>
      </c:valAx>
      <c:valAx>
        <c:axId val="18664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41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27</xdr:row>
      <xdr:rowOff>140970</xdr:rowOff>
    </xdr:from>
    <xdr:to>
      <xdr:col>11</xdr:col>
      <xdr:colOff>190500</xdr:colOff>
      <xdr:row>42</xdr:row>
      <xdr:rowOff>140970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A2ABF0-7CAC-8E65-0773-7CF8EAA6F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28</xdr:row>
      <xdr:rowOff>80010</xdr:rowOff>
    </xdr:from>
    <xdr:to>
      <xdr:col>21</xdr:col>
      <xdr:colOff>297180</xdr:colOff>
      <xdr:row>43</xdr:row>
      <xdr:rowOff>80010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E0D5023-36CD-4BA2-1479-F49CF409F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152400</xdr:colOff>
      <xdr:row>12</xdr:row>
      <xdr:rowOff>72390</xdr:rowOff>
    </xdr:from>
    <xdr:to>
      <xdr:col>9</xdr:col>
      <xdr:colOff>457200</xdr:colOff>
      <xdr:row>27</xdr:row>
      <xdr:rowOff>72390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1730465-8FA8-A85D-284E-C5CD23AC7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220980</xdr:colOff>
      <xdr:row>12</xdr:row>
      <xdr:rowOff>34290</xdr:rowOff>
    </xdr:from>
    <xdr:to>
      <xdr:col>17</xdr:col>
      <xdr:colOff>525780</xdr:colOff>
      <xdr:row>27</xdr:row>
      <xdr:rowOff>34290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444B52C-44EE-3A66-D5C8-78A8596CE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14</xdr:row>
      <xdr:rowOff>179070</xdr:rowOff>
    </xdr:from>
    <xdr:to>
      <xdr:col>10</xdr:col>
      <xdr:colOff>541020</xdr:colOff>
      <xdr:row>29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B6C40D-C3EE-0781-C65F-8E7FD172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449580</xdr:colOff>
      <xdr:row>15</xdr:row>
      <xdr:rowOff>11430</xdr:rowOff>
    </xdr:from>
    <xdr:to>
      <xdr:col>28</xdr:col>
      <xdr:colOff>144780</xdr:colOff>
      <xdr:row>30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DDF50CC-BD08-9A6E-32B1-1CB3E34BA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AC89-9B6D-4B9A-9EC4-F08B2527B06B}">
  <dimension ref="A1:M11"/>
  <sheetViews>
    <sheetView workbookViewId="0">
      <selection activeCell="E25" sqref="E2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F1" t="s">
        <v>3</v>
      </c>
    </row>
    <row r="2" spans="1:13" x14ac:dyDescent="0.3">
      <c r="A2">
        <v>1</v>
      </c>
      <c r="B2">
        <v>2.1</v>
      </c>
      <c r="D2">
        <v>0.8</v>
      </c>
      <c r="F2">
        <v>22.9</v>
      </c>
      <c r="H2" t="s">
        <v>5</v>
      </c>
      <c r="K2" t="s">
        <v>7</v>
      </c>
      <c r="M2" t="s">
        <v>8</v>
      </c>
    </row>
    <row r="3" spans="1:13" x14ac:dyDescent="0.3">
      <c r="A3">
        <v>2</v>
      </c>
      <c r="B3">
        <v>2.2000000000000002</v>
      </c>
      <c r="D3">
        <v>0.75</v>
      </c>
      <c r="H3" t="s">
        <v>6</v>
      </c>
      <c r="K3">
        <v>10.199999999999999</v>
      </c>
      <c r="M3" t="s">
        <v>9</v>
      </c>
    </row>
    <row r="4" spans="1:13" x14ac:dyDescent="0.3">
      <c r="A4">
        <v>3</v>
      </c>
      <c r="B4">
        <v>2.0001000000000002</v>
      </c>
      <c r="D4">
        <v>0.85</v>
      </c>
      <c r="F4">
        <v>30.88</v>
      </c>
    </row>
    <row r="5" spans="1:13" x14ac:dyDescent="0.3">
      <c r="A5">
        <v>4</v>
      </c>
      <c r="B5">
        <v>2.2000000000000002</v>
      </c>
      <c r="D5">
        <v>0.83</v>
      </c>
    </row>
    <row r="6" spans="1:13" x14ac:dyDescent="0.3">
      <c r="A6">
        <v>5</v>
      </c>
      <c r="B6">
        <v>2.0001000000000002</v>
      </c>
      <c r="D6">
        <v>0.98</v>
      </c>
      <c r="F6">
        <v>37.94</v>
      </c>
    </row>
    <row r="7" spans="1:13" x14ac:dyDescent="0.3">
      <c r="A7">
        <v>6</v>
      </c>
      <c r="B7">
        <v>2.2000000000000002</v>
      </c>
      <c r="D7">
        <v>0.8</v>
      </c>
    </row>
    <row r="8" spans="1:13" x14ac:dyDescent="0.3">
      <c r="A8">
        <v>7</v>
      </c>
      <c r="B8">
        <v>2.15</v>
      </c>
      <c r="D8">
        <v>0.7</v>
      </c>
      <c r="F8">
        <v>43.9</v>
      </c>
    </row>
    <row r="9" spans="1:13" x14ac:dyDescent="0.3">
      <c r="A9">
        <v>8</v>
      </c>
      <c r="B9">
        <v>2.2000009999999999</v>
      </c>
      <c r="D9">
        <v>0.65</v>
      </c>
    </row>
    <row r="10" spans="1:13" x14ac:dyDescent="0.3">
      <c r="A10">
        <v>9</v>
      </c>
      <c r="B10">
        <v>2.1</v>
      </c>
      <c r="D10">
        <v>0.75</v>
      </c>
      <c r="F10" t="s">
        <v>4</v>
      </c>
    </row>
    <row r="11" spans="1:13" x14ac:dyDescent="0.3">
      <c r="A11">
        <v>10</v>
      </c>
      <c r="B11">
        <v>2.15</v>
      </c>
      <c r="D11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5590-9DB2-4F6D-A047-40EFC7EDA26F}">
  <dimension ref="A1:V11"/>
  <sheetViews>
    <sheetView topLeftCell="K13" workbookViewId="0">
      <selection activeCell="Q3" sqref="Q3"/>
    </sheetView>
  </sheetViews>
  <sheetFormatPr defaultRowHeight="14.4" x14ac:dyDescent="0.3"/>
  <sheetData>
    <row r="1" spans="1:22" x14ac:dyDescent="0.3">
      <c r="A1" t="s">
        <v>15</v>
      </c>
      <c r="B1" t="s">
        <v>16</v>
      </c>
      <c r="C1" t="s">
        <v>0</v>
      </c>
      <c r="D1">
        <v>10</v>
      </c>
      <c r="E1">
        <v>10.6</v>
      </c>
      <c r="F1" t="s">
        <v>11</v>
      </c>
      <c r="G1" t="s">
        <v>12</v>
      </c>
      <c r="H1" t="s">
        <v>17</v>
      </c>
      <c r="I1" t="s">
        <v>18</v>
      </c>
      <c r="J1" t="s">
        <v>19</v>
      </c>
      <c r="L1" t="s">
        <v>10</v>
      </c>
      <c r="M1">
        <v>10</v>
      </c>
      <c r="N1">
        <v>10.6</v>
      </c>
      <c r="O1" t="s">
        <v>13</v>
      </c>
      <c r="P1" t="s">
        <v>14</v>
      </c>
      <c r="Q1" t="s">
        <v>17</v>
      </c>
      <c r="R1" t="s">
        <v>20</v>
      </c>
      <c r="S1" t="s">
        <v>19</v>
      </c>
      <c r="U1">
        <v>10</v>
      </c>
      <c r="V1">
        <v>10.6</v>
      </c>
    </row>
    <row r="2" spans="1:22" x14ac:dyDescent="0.3">
      <c r="A2">
        <v>22.9</v>
      </c>
      <c r="B2">
        <v>1258</v>
      </c>
      <c r="C2">
        <v>2.1</v>
      </c>
      <c r="D2">
        <f>120.25-91.54</f>
        <v>28.709999999999994</v>
      </c>
      <c r="E2">
        <f>151.56-120.25</f>
        <v>31.310000000000002</v>
      </c>
      <c r="F2">
        <f>D$1/100/D2</f>
        <v>3.4831069313827944E-3</v>
      </c>
      <c r="G2">
        <f>E$1/100/E2</f>
        <v>3.3854998403066109E-3</v>
      </c>
      <c r="H2">
        <f>2/9*9.81*C2*C2/1000000/AVERAGE(F2:G2)*(2500-B2)</f>
        <v>3.4767864857877577</v>
      </c>
      <c r="I2">
        <f>LN(H2)</f>
        <v>1.2461084435439274</v>
      </c>
      <c r="J2">
        <f>1/(A2+273)</f>
        <v>3.3795201081446439E-3</v>
      </c>
      <c r="L2">
        <v>0.8</v>
      </c>
      <c r="M2">
        <f>68.62-37.11</f>
        <v>31.510000000000005</v>
      </c>
      <c r="N2">
        <f>103.15-68.62</f>
        <v>34.53</v>
      </c>
      <c r="O2">
        <f>M$1/100/M2</f>
        <v>3.1735956839098697E-3</v>
      </c>
      <c r="P2">
        <f>N$1/100/N2</f>
        <v>3.0697943816970748E-3</v>
      </c>
      <c r="Q2">
        <f>2/9*9.81*L2*L2/1000000/AVERAGE(O2:P2)*(7800-B2)</f>
        <v>2.9238597313598058</v>
      </c>
      <c r="R2">
        <f>LN(Q2)</f>
        <v>1.0729045692456889</v>
      </c>
      <c r="S2">
        <f>1/(A2+273)</f>
        <v>3.3795201081446439E-3</v>
      </c>
      <c r="U2">
        <f>68.62-37.11</f>
        <v>31.510000000000005</v>
      </c>
      <c r="V2">
        <f>103.15-68.62</f>
        <v>34.53</v>
      </c>
    </row>
    <row r="3" spans="1:22" x14ac:dyDescent="0.3">
      <c r="A3">
        <v>22.9</v>
      </c>
      <c r="B3">
        <v>1258</v>
      </c>
      <c r="C3">
        <v>2.2000000000000002</v>
      </c>
      <c r="D3">
        <f>196.76-167.94</f>
        <v>28.819999999999993</v>
      </c>
      <c r="E3">
        <f>229.6-196.76</f>
        <v>32.840000000000003</v>
      </c>
      <c r="F3">
        <f t="shared" ref="F3:F10" si="0">D$1/100/D3</f>
        <v>3.4698126301179748E-3</v>
      </c>
      <c r="G3">
        <f t="shared" ref="G3:G11" si="1">E$1/100/E3</f>
        <v>3.2277710109622406E-3</v>
      </c>
      <c r="H3">
        <f t="shared" ref="H3:H11" si="2">2/9*9.81*C3*C3/1000000/AVERAGE(F3:G3)*(2500-B3)</f>
        <v>3.9132293383010115</v>
      </c>
      <c r="I3">
        <f t="shared" ref="I3:I11" si="3">LN(H3)</f>
        <v>1.3643629508389559</v>
      </c>
      <c r="J3">
        <f t="shared" ref="J3:J11" si="4">1/(A3+273)</f>
        <v>3.3795201081446439E-3</v>
      </c>
      <c r="L3">
        <v>0.75</v>
      </c>
      <c r="M3">
        <f>96.72-65.41</f>
        <v>31.310000000000002</v>
      </c>
      <c r="N3">
        <f>131.24-96.72</f>
        <v>34.52000000000001</v>
      </c>
      <c r="O3">
        <f t="shared" ref="O3:O11" si="5">M$1/100/M3</f>
        <v>3.1938677738741613E-3</v>
      </c>
      <c r="P3">
        <f t="shared" ref="P3:P10" si="6">N$1/100/N3</f>
        <v>3.0706836616454219E-3</v>
      </c>
      <c r="Q3">
        <f t="shared" ref="Q3:Q11" si="7">2/9*9.81*L3*L3/1000000/AVERAGE(O3:P3)*(7800-B3)</f>
        <v>2.5611179292151971</v>
      </c>
      <c r="R3">
        <f t="shared" ref="R3:R11" si="8">LN(Q3)</f>
        <v>0.94044385426934896</v>
      </c>
      <c r="S3">
        <f t="shared" ref="S3:S11" si="9">1/(A3+273)</f>
        <v>3.3795201081446439E-3</v>
      </c>
      <c r="U3">
        <f>96.72-65.41</f>
        <v>31.310000000000002</v>
      </c>
      <c r="V3">
        <f>131.24-96.72</f>
        <v>34.52000000000001</v>
      </c>
    </row>
    <row r="4" spans="1:22" x14ac:dyDescent="0.3">
      <c r="A4">
        <v>30.88</v>
      </c>
      <c r="B4">
        <v>1254.5</v>
      </c>
      <c r="C4">
        <v>2.0001000000000002</v>
      </c>
      <c r="D4" s="1">
        <f>34.73-17.44</f>
        <v>17.289999999999996</v>
      </c>
      <c r="E4" s="1">
        <v>19.5</v>
      </c>
      <c r="F4">
        <f t="shared" si="0"/>
        <v>5.7836899942163116E-3</v>
      </c>
      <c r="G4">
        <f t="shared" si="1"/>
        <v>5.4358974358974356E-3</v>
      </c>
      <c r="H4">
        <f t="shared" si="2"/>
        <v>1.9362291476063274</v>
      </c>
      <c r="I4">
        <f t="shared" si="3"/>
        <v>0.66074234321713599</v>
      </c>
      <c r="J4">
        <f t="shared" si="4"/>
        <v>3.29077267342372E-3</v>
      </c>
      <c r="L4">
        <v>0.85</v>
      </c>
      <c r="M4" s="1">
        <f>99.13-80.53</f>
        <v>18.599999999999994</v>
      </c>
      <c r="N4">
        <f>119.43-99.13</f>
        <v>20.300000000000011</v>
      </c>
      <c r="O4">
        <f t="shared" si="5"/>
        <v>5.3763440860215075E-3</v>
      </c>
      <c r="P4">
        <f t="shared" si="6"/>
        <v>5.2216748768472874E-3</v>
      </c>
      <c r="Q4">
        <f t="shared" si="7"/>
        <v>1.9455503544804575</v>
      </c>
      <c r="R4">
        <f t="shared" si="8"/>
        <v>0.66554489564695229</v>
      </c>
      <c r="S4">
        <f t="shared" si="9"/>
        <v>3.29077267342372E-3</v>
      </c>
      <c r="U4" s="1">
        <f>99.13-80.53</f>
        <v>18.599999999999994</v>
      </c>
      <c r="V4">
        <f>119.43-99.13</f>
        <v>20.300000000000011</v>
      </c>
    </row>
    <row r="5" spans="1:22" x14ac:dyDescent="0.3">
      <c r="A5">
        <v>30.88</v>
      </c>
      <c r="B5">
        <v>1254.5</v>
      </c>
      <c r="C5">
        <v>2.2000000000000002</v>
      </c>
      <c r="D5" s="1">
        <f>58.13-41.69</f>
        <v>16.440000000000005</v>
      </c>
      <c r="E5">
        <f>76.42-58.13</f>
        <v>18.29</v>
      </c>
      <c r="F5">
        <f t="shared" si="0"/>
        <v>6.0827250608272493E-3</v>
      </c>
      <c r="G5">
        <f t="shared" si="1"/>
        <v>5.7955166757791146E-3</v>
      </c>
      <c r="H5">
        <f t="shared" si="2"/>
        <v>2.212704521663416</v>
      </c>
      <c r="I5">
        <f t="shared" si="3"/>
        <v>0.79421553279761625</v>
      </c>
      <c r="J5">
        <f t="shared" si="4"/>
        <v>3.29077267342372E-3</v>
      </c>
      <c r="L5">
        <v>0.83</v>
      </c>
      <c r="M5" s="1">
        <v>18.27</v>
      </c>
      <c r="N5">
        <v>19.59</v>
      </c>
      <c r="O5">
        <f t="shared" si="5"/>
        <v>5.4734537493158191E-3</v>
      </c>
      <c r="P5">
        <f t="shared" si="6"/>
        <v>5.4109239407861155E-3</v>
      </c>
      <c r="Q5">
        <f t="shared" si="7"/>
        <v>1.8062667928069553</v>
      </c>
      <c r="R5">
        <f t="shared" si="8"/>
        <v>0.59126216989114166</v>
      </c>
      <c r="S5">
        <f t="shared" si="9"/>
        <v>3.29077267342372E-3</v>
      </c>
      <c r="U5" s="1">
        <f>160.22-142.35</f>
        <v>17.870000000000005</v>
      </c>
      <c r="V5">
        <f>180.41-160.22</f>
        <v>20.189999999999998</v>
      </c>
    </row>
    <row r="6" spans="1:22" x14ac:dyDescent="0.3">
      <c r="A6">
        <v>37.94</v>
      </c>
      <c r="B6">
        <v>1252.5</v>
      </c>
      <c r="C6">
        <v>2.0001000000000002</v>
      </c>
      <c r="D6">
        <v>12.87</v>
      </c>
      <c r="E6">
        <f>46.34-32.87</f>
        <v>13.470000000000006</v>
      </c>
      <c r="F6">
        <f t="shared" si="0"/>
        <v>7.7700077700077709E-3</v>
      </c>
      <c r="G6">
        <f t="shared" si="1"/>
        <v>7.8693392724573097E-3</v>
      </c>
      <c r="H6">
        <f t="shared" si="2"/>
        <v>1.3912713641631298</v>
      </c>
      <c r="I6">
        <f t="shared" si="3"/>
        <v>0.33021797958181087</v>
      </c>
      <c r="J6">
        <f t="shared" si="4"/>
        <v>3.2160545442850713E-3</v>
      </c>
      <c r="L6">
        <v>0.98</v>
      </c>
      <c r="M6" s="2">
        <v>16.53</v>
      </c>
      <c r="N6" s="2">
        <v>17.8</v>
      </c>
      <c r="O6">
        <f t="shared" si="5"/>
        <v>6.0496067755595887E-3</v>
      </c>
      <c r="P6">
        <f t="shared" si="6"/>
        <v>5.9550561797752808E-3</v>
      </c>
      <c r="Q6">
        <f>2/9*9.81*L6*L6/1000000/AVERAGE(O6:P6)*(7800-B6)</f>
        <v>2.283832119402907</v>
      </c>
      <c r="R6">
        <f t="shared" si="8"/>
        <v>0.82585478620389963</v>
      </c>
      <c r="S6">
        <f t="shared" si="9"/>
        <v>3.2160545442850713E-3</v>
      </c>
      <c r="U6" s="2">
        <f>58.88-46.24</f>
        <v>12.64</v>
      </c>
      <c r="V6" s="2">
        <f>72.12-58.88</f>
        <v>13.240000000000002</v>
      </c>
    </row>
    <row r="7" spans="1:22" x14ac:dyDescent="0.3">
      <c r="A7">
        <v>37.94</v>
      </c>
      <c r="B7">
        <v>1252.5</v>
      </c>
      <c r="C7">
        <v>2.2000000000000002</v>
      </c>
      <c r="D7">
        <f>45.78-33.27</f>
        <v>12.509999999999998</v>
      </c>
      <c r="E7">
        <f>58.98-45.78</f>
        <v>13.199999999999996</v>
      </c>
      <c r="F7">
        <f t="shared" si="0"/>
        <v>7.9936051159072759E-3</v>
      </c>
      <c r="G7">
        <f t="shared" si="1"/>
        <v>8.0303030303030334E-3</v>
      </c>
      <c r="H7">
        <f t="shared" si="2"/>
        <v>1.6428728721979091</v>
      </c>
      <c r="I7">
        <f t="shared" si="3"/>
        <v>0.49644646064939296</v>
      </c>
      <c r="J7">
        <f t="shared" si="4"/>
        <v>3.2160545442850713E-3</v>
      </c>
      <c r="L7">
        <v>0.8</v>
      </c>
      <c r="M7" s="2">
        <f>77.68-61.58</f>
        <v>16.100000000000009</v>
      </c>
      <c r="N7" s="2">
        <f>94.44-77.68</f>
        <v>16.759999999999991</v>
      </c>
      <c r="O7">
        <f t="shared" si="5"/>
        <v>6.2111801242235995E-3</v>
      </c>
      <c r="P7">
        <f t="shared" si="6"/>
        <v>6.3245823389021516E-3</v>
      </c>
      <c r="Q7">
        <f t="shared" si="7"/>
        <v>1.4574417833571809</v>
      </c>
      <c r="R7">
        <f t="shared" si="8"/>
        <v>0.37668269563666601</v>
      </c>
      <c r="S7">
        <f t="shared" si="9"/>
        <v>3.2160545442850713E-3</v>
      </c>
      <c r="U7" s="2">
        <f>77.68-61.58</f>
        <v>16.100000000000009</v>
      </c>
      <c r="V7" s="2">
        <f>94.44-77.68</f>
        <v>16.759999999999991</v>
      </c>
    </row>
    <row r="8" spans="1:22" x14ac:dyDescent="0.3">
      <c r="A8">
        <v>43.9</v>
      </c>
      <c r="B8">
        <v>1250.5</v>
      </c>
      <c r="C8">
        <v>2.15</v>
      </c>
      <c r="D8">
        <f>56.22-48.42</f>
        <v>7.7999999999999972</v>
      </c>
      <c r="E8">
        <f>64.41-56.22</f>
        <v>8.1899999999999977</v>
      </c>
      <c r="F8">
        <f t="shared" si="0"/>
        <v>1.2820512820512825E-2</v>
      </c>
      <c r="G8">
        <f t="shared" si="1"/>
        <v>1.2942612942612945E-2</v>
      </c>
      <c r="H8">
        <f t="shared" si="2"/>
        <v>0.97746477587914682</v>
      </c>
      <c r="I8">
        <f t="shared" si="3"/>
        <v>-2.2793022678132713E-2</v>
      </c>
      <c r="J8">
        <f t="shared" si="4"/>
        <v>3.155569580309246E-3</v>
      </c>
      <c r="L8">
        <v>0.7</v>
      </c>
      <c r="M8">
        <f>38.14-23.54</f>
        <v>14.600000000000001</v>
      </c>
      <c r="N8">
        <v>15.24</v>
      </c>
      <c r="O8">
        <f t="shared" si="5"/>
        <v>6.8493150684931503E-3</v>
      </c>
      <c r="P8">
        <f t="shared" si="6"/>
        <v>6.9553805774278214E-3</v>
      </c>
      <c r="Q8">
        <f t="shared" si="7"/>
        <v>1.0135936466034641</v>
      </c>
      <c r="R8">
        <f t="shared" si="8"/>
        <v>1.3502081855447302E-2</v>
      </c>
      <c r="S8">
        <f t="shared" si="9"/>
        <v>3.155569580309246E-3</v>
      </c>
      <c r="U8">
        <f>38.14-23.54</f>
        <v>14.600000000000001</v>
      </c>
      <c r="V8">
        <f>53.48-38.14</f>
        <v>15.339999999999996</v>
      </c>
    </row>
    <row r="9" spans="1:22" x14ac:dyDescent="0.3">
      <c r="A9">
        <v>43.9</v>
      </c>
      <c r="B9">
        <v>1250.5</v>
      </c>
      <c r="C9">
        <v>2.2000009999999999</v>
      </c>
      <c r="D9">
        <f>77.24-69.62</f>
        <v>7.6199999999999903</v>
      </c>
      <c r="E9">
        <f>85.23-77.24</f>
        <v>7.9900000000000091</v>
      </c>
      <c r="F9">
        <f t="shared" si="0"/>
        <v>1.3123359580052511E-2</v>
      </c>
      <c r="G9">
        <f t="shared" si="1"/>
        <v>1.326658322903628E-2</v>
      </c>
      <c r="H9">
        <f t="shared" si="2"/>
        <v>0.99914853780328772</v>
      </c>
      <c r="I9">
        <f t="shared" si="3"/>
        <v>-8.5182489654657791E-4</v>
      </c>
      <c r="J9">
        <f t="shared" si="4"/>
        <v>3.155569580309246E-3</v>
      </c>
      <c r="L9">
        <v>0.65</v>
      </c>
      <c r="M9">
        <v>13.89</v>
      </c>
      <c r="N9">
        <v>14.45</v>
      </c>
      <c r="O9">
        <f t="shared" si="5"/>
        <v>7.199424046076314E-3</v>
      </c>
      <c r="P9">
        <f t="shared" si="6"/>
        <v>7.3356401384083048E-3</v>
      </c>
      <c r="Q9">
        <f t="shared" si="7"/>
        <v>0.83005026994504427</v>
      </c>
      <c r="R9">
        <f t="shared" si="8"/>
        <v>-0.18626901382670308</v>
      </c>
      <c r="S9">
        <f t="shared" si="9"/>
        <v>3.155569580309246E-3</v>
      </c>
      <c r="U9">
        <f>58.05-41.72</f>
        <v>16.329999999999998</v>
      </c>
      <c r="V9">
        <f>75.04-58.05</f>
        <v>16.990000000000009</v>
      </c>
    </row>
    <row r="10" spans="1:22" x14ac:dyDescent="0.3">
      <c r="A10">
        <v>50.3</v>
      </c>
      <c r="B10">
        <v>1247</v>
      </c>
      <c r="C10">
        <v>2.1</v>
      </c>
      <c r="D10">
        <f>73.01-68.71</f>
        <v>4.3000000000000114</v>
      </c>
      <c r="E10">
        <f>77.65-73.01</f>
        <v>4.6400000000000006</v>
      </c>
      <c r="F10">
        <f t="shared" si="0"/>
        <v>2.3255813953488313E-2</v>
      </c>
      <c r="G10">
        <f t="shared" si="1"/>
        <v>2.2844827586206894E-2</v>
      </c>
      <c r="H10">
        <f t="shared" si="2"/>
        <v>0.52259972953424738</v>
      </c>
      <c r="I10">
        <f t="shared" si="3"/>
        <v>-0.64893944343451249</v>
      </c>
      <c r="J10">
        <f t="shared" si="4"/>
        <v>3.0931023816888337E-3</v>
      </c>
      <c r="L10">
        <v>0.75</v>
      </c>
      <c r="M10">
        <f>18.27-11.08</f>
        <v>7.1899999999999995</v>
      </c>
      <c r="N10">
        <f>25.71-18.27</f>
        <v>7.4400000000000013</v>
      </c>
      <c r="O10">
        <f t="shared" si="5"/>
        <v>1.3908205841446456E-2</v>
      </c>
      <c r="P10">
        <f t="shared" si="6"/>
        <v>1.4247311827956986E-2</v>
      </c>
      <c r="Q10">
        <f t="shared" si="7"/>
        <v>0.57080223808012553</v>
      </c>
      <c r="R10">
        <f t="shared" si="8"/>
        <v>-0.56071247243387434</v>
      </c>
      <c r="S10">
        <f t="shared" si="9"/>
        <v>3.0931023816888337E-3</v>
      </c>
      <c r="U10">
        <f>18.27-11.08</f>
        <v>7.1899999999999995</v>
      </c>
      <c r="V10">
        <f>25.71-18.27</f>
        <v>7.4400000000000013</v>
      </c>
    </row>
    <row r="11" spans="1:22" x14ac:dyDescent="0.3">
      <c r="A11">
        <v>50.3</v>
      </c>
      <c r="B11">
        <v>1247</v>
      </c>
      <c r="C11">
        <v>2.15</v>
      </c>
      <c r="D11">
        <f>26.21-21.88</f>
        <v>4.3300000000000018</v>
      </c>
      <c r="E11">
        <f>30.79-26.21</f>
        <v>4.5799999999999983</v>
      </c>
      <c r="F11">
        <f>D$1/100/D11</f>
        <v>2.3094688221708997E-2</v>
      </c>
      <c r="G11">
        <f t="shared" si="1"/>
        <v>2.3144104803493458E-2</v>
      </c>
      <c r="H11">
        <f t="shared" si="2"/>
        <v>0.54614503640343304</v>
      </c>
      <c r="I11">
        <f t="shared" si="3"/>
        <v>-0.6048707040732908</v>
      </c>
      <c r="J11">
        <f t="shared" si="4"/>
        <v>3.0931023816888337E-3</v>
      </c>
      <c r="L11">
        <v>0.85</v>
      </c>
      <c r="M11">
        <v>6.86</v>
      </c>
      <c r="N11">
        <v>7.14</v>
      </c>
      <c r="O11">
        <f t="shared" si="5"/>
        <v>1.4577259475218658E-2</v>
      </c>
      <c r="P11">
        <f>N$1/100/N11</f>
        <v>1.4845938375350141E-2</v>
      </c>
      <c r="Q11">
        <f t="shared" si="7"/>
        <v>0.70157585877773454</v>
      </c>
      <c r="R11">
        <f t="shared" si="8"/>
        <v>-0.35442624732782735</v>
      </c>
      <c r="S11">
        <f t="shared" si="9"/>
        <v>3.0931023816888337E-3</v>
      </c>
      <c r="U11">
        <f>30.3-24.64</f>
        <v>5.66</v>
      </c>
      <c r="V11">
        <f>36.44-30.3</f>
        <v>6.139999999999997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F357-6BDD-4A56-8905-1A914469F62A}">
  <dimension ref="A1:AK13"/>
  <sheetViews>
    <sheetView topLeftCell="V1" workbookViewId="0">
      <selection activeCell="AB2" sqref="AB2:AB11"/>
    </sheetView>
  </sheetViews>
  <sheetFormatPr defaultRowHeight="14.4" x14ac:dyDescent="0.3"/>
  <cols>
    <col min="7" max="7" width="12" bestFit="1" customWidth="1"/>
    <col min="17" max="17" width="12.6640625" bestFit="1" customWidth="1"/>
    <col min="18" max="20" width="12.6640625" customWidth="1"/>
    <col min="30" max="30" width="9.88671875" bestFit="1" customWidth="1"/>
    <col min="31" max="31" width="9.88671875" customWidth="1"/>
    <col min="35" max="35" width="12" bestFit="1" customWidth="1"/>
  </cols>
  <sheetData>
    <row r="1" spans="1:37" x14ac:dyDescent="0.3">
      <c r="A1" t="s">
        <v>15</v>
      </c>
      <c r="B1" t="s">
        <v>16</v>
      </c>
      <c r="C1" t="s">
        <v>0</v>
      </c>
      <c r="D1">
        <v>20.6</v>
      </c>
      <c r="E1" t="s">
        <v>21</v>
      </c>
      <c r="F1" t="s">
        <v>27</v>
      </c>
      <c r="G1" t="s">
        <v>29</v>
      </c>
      <c r="H1" t="s">
        <v>17</v>
      </c>
      <c r="I1" t="s">
        <v>31</v>
      </c>
      <c r="J1" t="s">
        <v>20</v>
      </c>
      <c r="K1" t="s">
        <v>19</v>
      </c>
      <c r="L1" t="s">
        <v>23</v>
      </c>
      <c r="M1" t="s">
        <v>32</v>
      </c>
      <c r="N1" t="s">
        <v>24</v>
      </c>
      <c r="O1">
        <v>1000</v>
      </c>
      <c r="P1" t="s">
        <v>35</v>
      </c>
      <c r="Q1" t="s">
        <v>26</v>
      </c>
      <c r="R1" t="s">
        <v>33</v>
      </c>
      <c r="S1" t="s">
        <v>37</v>
      </c>
      <c r="U1" t="s">
        <v>22</v>
      </c>
      <c r="V1">
        <v>20.6</v>
      </c>
      <c r="W1" t="s">
        <v>21</v>
      </c>
      <c r="X1" s="3" t="s">
        <v>28</v>
      </c>
      <c r="Y1" s="3" t="s">
        <v>30</v>
      </c>
      <c r="Z1" t="s">
        <v>17</v>
      </c>
      <c r="AA1" t="s">
        <v>32</v>
      </c>
      <c r="AB1" t="s">
        <v>20</v>
      </c>
      <c r="AC1" t="s">
        <v>19</v>
      </c>
      <c r="AD1" t="s">
        <v>25</v>
      </c>
      <c r="AE1" t="s">
        <v>32</v>
      </c>
      <c r="AF1" t="s">
        <v>24</v>
      </c>
      <c r="AG1">
        <v>1000</v>
      </c>
      <c r="AH1" t="s">
        <v>36</v>
      </c>
      <c r="AI1" t="s">
        <v>26</v>
      </c>
      <c r="AJ1" t="s">
        <v>33</v>
      </c>
      <c r="AK1" t="s">
        <v>38</v>
      </c>
    </row>
    <row r="2" spans="1:37" x14ac:dyDescent="0.3">
      <c r="A2">
        <v>22.9</v>
      </c>
      <c r="B2">
        <v>1258</v>
      </c>
      <c r="C2">
        <v>2.1</v>
      </c>
      <c r="D2">
        <v>60.72</v>
      </c>
      <c r="E2">
        <f>20.6/D2/100</f>
        <v>3.3926218708827407E-3</v>
      </c>
      <c r="F2">
        <f>E2*1000</f>
        <v>3.3926218708827407</v>
      </c>
      <c r="G2">
        <f>E2*SQRT((0.001/0.206)^2+(0.02/D2)^2)*1000</f>
        <v>1.650690601392055E-2</v>
      </c>
      <c r="H2">
        <f>2/9*9.81*C2*C2/1000000/E2*(2500-B2)/4</f>
        <v>0.87987551033009714</v>
      </c>
      <c r="I2" s="1">
        <f>H2*SQRT(4*(0.05/C2)^2+(G2/F2)^2)</f>
        <v>4.2116977125185098E-2</v>
      </c>
      <c r="J2">
        <f>LN(H2*1000)</f>
        <v>6.779780431931079</v>
      </c>
      <c r="K2">
        <f>1/(A2+273)</f>
        <v>3.3795201081446439E-3</v>
      </c>
      <c r="L2">
        <f>B2*E2*0.028/H2</f>
        <v>0.13581661425619287</v>
      </c>
      <c r="M2" s="4">
        <f>L2*SQRT((G2/F2)^2+(I2/H2)^2)</f>
        <v>6.5346290321903599E-3</v>
      </c>
      <c r="N2">
        <f>2/9*C2*C2*2500/H2/1000000</f>
        <v>2.7844848177225093E-3</v>
      </c>
      <c r="O2" s="1">
        <f>N2*1000</f>
        <v>2.7844848177225092</v>
      </c>
      <c r="P2" s="1">
        <f>O2*SQRT(4*(1/28)^2+(I2/H2)^2)</f>
        <v>0.23942178450755666</v>
      </c>
      <c r="Q2">
        <f>E2*N2*(N2/D2+1-EXP(-D2/N2))</f>
        <v>9.4471372966890303E-6</v>
      </c>
      <c r="R2">
        <f>Q2*1000000</f>
        <v>9.4471372966890304</v>
      </c>
      <c r="S2" s="5">
        <f>R2*SQRT((G2/F2)^2+(P2/O2)^2)</f>
        <v>0.81360429640082454</v>
      </c>
      <c r="U2">
        <v>0.8</v>
      </c>
      <c r="V2">
        <v>69.239999999999995</v>
      </c>
      <c r="W2">
        <f>0.206/V2</f>
        <v>2.975158867706528E-3</v>
      </c>
      <c r="X2">
        <f>W2*1000</f>
        <v>2.9751588677065279</v>
      </c>
      <c r="Y2">
        <f>W2*SQRT((0.001/0.206)^2+(0.02/V2)^2)*1000</f>
        <v>1.4468063977753558E-2</v>
      </c>
      <c r="Z2">
        <f>2/9*9.81*U2*U2/1000000/W2*(7800-B2)/4</f>
        <v>0.76696731215533986</v>
      </c>
      <c r="AA2" s="1">
        <f>Z2*SQRT(4*(0.05/U2)^2+(Y2/X2)^2)</f>
        <v>9.594343658053596E-2</v>
      </c>
      <c r="AB2">
        <f>LN(Z2*1000)</f>
        <v>6.6424441826694443</v>
      </c>
      <c r="AC2">
        <f>K2</f>
        <v>3.3795201081446439E-3</v>
      </c>
      <c r="AD2">
        <f>B2*W2*0.028/Z2</f>
        <v>0.13663815171156785</v>
      </c>
      <c r="AE2" s="4">
        <f>AD2*SQRT((Y2/X2)^2+(AA2/Z2)^2)</f>
        <v>1.710559954680636E-2</v>
      </c>
      <c r="AF2">
        <f>2/9*U2*U2*7800/Z2/1000000</f>
        <v>1.4463893255318439E-3</v>
      </c>
      <c r="AG2">
        <f>AF2*1000</f>
        <v>1.4463893255318439</v>
      </c>
      <c r="AH2" s="4">
        <f>AG2*SQRT(4*(1/28)^2+(AA2/Z2)^2)</f>
        <v>0.20835382144051967</v>
      </c>
      <c r="AI2">
        <f>AF2*W2*(AF2/V2+1-EXP(-V2/AF2))</f>
        <v>4.3033279205243901E-6</v>
      </c>
      <c r="AJ2">
        <f>AI2*1000000</f>
        <v>4.3033279205243904</v>
      </c>
      <c r="AK2" s="5">
        <f>AJ2*SQRT((Y2/X2)^2+(AH2/AG2)^2)</f>
        <v>0.620251798914913</v>
      </c>
    </row>
    <row r="3" spans="1:37" x14ac:dyDescent="0.3">
      <c r="A3">
        <v>22.9</v>
      </c>
      <c r="B3">
        <v>1258</v>
      </c>
      <c r="C3">
        <v>2.2000000000000002</v>
      </c>
      <c r="D3">
        <v>61.86</v>
      </c>
      <c r="E3">
        <f t="shared" ref="E3:E11" si="0">20.6/D3/100</f>
        <v>3.3301002263174911E-3</v>
      </c>
      <c r="F3">
        <f>E3*1000</f>
        <v>3.3301002263174913</v>
      </c>
      <c r="G3">
        <f t="shared" ref="G3:G11" si="1">E3*SQRT((0.001/0.206)^2+(0.02/D3)^2)*1000</f>
        <v>1.6201349165427523E-2</v>
      </c>
      <c r="H3">
        <f>2/9*9.81*C3*C3/1000000/E3*(2500-B3)/4</f>
        <v>0.98379849774757311</v>
      </c>
      <c r="I3" s="1">
        <f t="shared" ref="I3:I11" si="2">H3*SQRT(4*(0.05/C3)^2+(G3/F3)^2)</f>
        <v>4.497352952532873E-2</v>
      </c>
      <c r="J3">
        <f t="shared" ref="J3:J11" si="3">LN(H3*1000)</f>
        <v>6.8914210973704142</v>
      </c>
      <c r="K3">
        <f>1/(A3+273)</f>
        <v>3.3795201081446439E-3</v>
      </c>
      <c r="L3">
        <f>B3*E3*0.028/H3</f>
        <v>0.11923117451425959</v>
      </c>
      <c r="M3" s="4">
        <f t="shared" ref="M3:M11" si="4">L3*SQRT((G3/F3)^2+(I3/H3)^2)</f>
        <v>5.4813341643959925E-3</v>
      </c>
      <c r="N3">
        <f>2/9*C3*C3*2500/H3/1000000</f>
        <v>2.7331703545443054E-3</v>
      </c>
      <c r="O3" s="1">
        <f t="shared" ref="O3:O11" si="5">N3*1000</f>
        <v>2.7331703545443053</v>
      </c>
      <c r="P3" s="1">
        <f t="shared" ref="P3:P11" si="6">O3*SQRT(4*(1/28)^2+(I3/H3)^2)</f>
        <v>0.2317855115521251</v>
      </c>
      <c r="Q3">
        <f>E3*N3*(N3/D3+1-EXP(-D3/N3))</f>
        <v>9.1021333594901738E-6</v>
      </c>
      <c r="R3">
        <f t="shared" ref="R3:R11" si="7">Q3*1000000</f>
        <v>9.102133359490173</v>
      </c>
      <c r="S3" s="5">
        <f t="shared" ref="S3:S11" si="8">R3*SQRT((G3/F3)^2+(P3/O3)^2)</f>
        <v>0.77317227176043146</v>
      </c>
      <c r="U3">
        <v>0.85</v>
      </c>
      <c r="V3">
        <v>67.83</v>
      </c>
      <c r="W3">
        <f t="shared" ref="W3:W11" si="9">0.206/V3</f>
        <v>3.0370042753943682E-3</v>
      </c>
      <c r="X3">
        <f t="shared" ref="X3:X11" si="10">W3*1000</f>
        <v>3.0370042753943682</v>
      </c>
      <c r="Y3">
        <f t="shared" ref="Y3:Y11" si="11">W3*SQRT((0.001/0.206)^2+(0.02/V3)^2)*1000</f>
        <v>1.4769909784826974E-2</v>
      </c>
      <c r="Z3">
        <f>2/9*9.81*U3*U3/1000000/W3*(7800-B3)/4</f>
        <v>0.84820238676334936</v>
      </c>
      <c r="AA3" s="1">
        <f t="shared" ref="AA3:AA11" si="12">Z3*SQRT(4*(0.05/U3)^2+(Y3/X3)^2)</f>
        <v>9.9873741260977353E-2</v>
      </c>
      <c r="AB3">
        <f>LN(Z3*1000)</f>
        <v>6.7431192709522936</v>
      </c>
      <c r="AC3">
        <f>K3</f>
        <v>3.3795201081446439E-3</v>
      </c>
      <c r="AD3">
        <f>B3*W3*0.028/Z3</f>
        <v>0.12612018106279824</v>
      </c>
      <c r="AE3" s="4">
        <f t="shared" ref="AE3:AE11" si="13">AD3*SQRT((Y3/X3)^2+(AA3/Z3)^2)</f>
        <v>1.4863002011926276E-2</v>
      </c>
      <c r="AF3">
        <f>2/9*U3*U3*7800/Z3/1000000</f>
        <v>1.4764557997910203E-3</v>
      </c>
      <c r="AG3">
        <f t="shared" ref="AG3:AG11" si="14">AF3*1000</f>
        <v>1.4764557997910204</v>
      </c>
      <c r="AH3" s="4">
        <f t="shared" ref="AH3:AH11" si="15">AG3*SQRT(4*(1/28)^2+(AA3/Z3)^2)</f>
        <v>0.20333601705380416</v>
      </c>
      <c r="AI3">
        <f t="shared" ref="AI3:AI11" si="16">AF3*W3*(AF3/V3+1-EXP(-V3/AF3))</f>
        <v>4.484100179692767E-6</v>
      </c>
      <c r="AJ3">
        <f t="shared" ref="AJ3:AJ11" si="17">AI3*1000000</f>
        <v>4.4841001796927671</v>
      </c>
      <c r="AK3" s="5">
        <f t="shared" ref="AK3:AK11" si="18">AJ3*SQRT((Y3/X3)^2+(AH3/AG3)^2)</f>
        <v>0.61793072428570428</v>
      </c>
    </row>
    <row r="4" spans="1:37" x14ac:dyDescent="0.3">
      <c r="A4">
        <v>30.88</v>
      </c>
      <c r="B4">
        <v>1254.5</v>
      </c>
      <c r="C4">
        <v>2.0001000000000002</v>
      </c>
      <c r="D4">
        <v>36.789999999999992</v>
      </c>
      <c r="E4">
        <f t="shared" si="0"/>
        <v>5.5993476488176153E-3</v>
      </c>
      <c r="F4">
        <f>E4*1000</f>
        <v>5.5993476488176155</v>
      </c>
      <c r="G4">
        <f t="shared" si="1"/>
        <v>2.7351209603418775E-2</v>
      </c>
      <c r="H4">
        <f>2/9*9.81*C4*C4/1000000/E4*(2500-B4)/4</f>
        <v>0.48496033754242518</v>
      </c>
      <c r="I4" s="1">
        <f t="shared" si="2"/>
        <v>2.4362249100660746E-2</v>
      </c>
      <c r="J4">
        <f t="shared" si="3"/>
        <v>6.1840671093304183</v>
      </c>
      <c r="K4">
        <f>1/(A4+273)</f>
        <v>3.29077267342372E-3</v>
      </c>
      <c r="L4">
        <f>B4*E4*0.028/H4</f>
        <v>0.40556447669323353</v>
      </c>
      <c r="M4" s="4">
        <f t="shared" si="4"/>
        <v>2.0469843473277117E-2</v>
      </c>
      <c r="N4">
        <f>2/9*C4*C4*2500/H4/1000000</f>
        <v>4.5827344587856681E-3</v>
      </c>
      <c r="O4" s="1">
        <f t="shared" si="5"/>
        <v>4.5827344587856684</v>
      </c>
      <c r="P4" s="1">
        <f t="shared" si="6"/>
        <v>0.40018717213076693</v>
      </c>
      <c r="Q4">
        <f t="shared" ref="Q4:Q11" si="19">E4*N4*(N4/D4+1-EXP(-D4/N4))</f>
        <v>2.5663519786849536E-5</v>
      </c>
      <c r="R4">
        <f t="shared" si="7"/>
        <v>25.663519786849537</v>
      </c>
      <c r="S4" s="5">
        <f t="shared" si="8"/>
        <v>2.2445695993808976</v>
      </c>
      <c r="U4">
        <v>0.85</v>
      </c>
      <c r="V4">
        <v>38.900000000000006</v>
      </c>
      <c r="W4">
        <f t="shared" si="9"/>
        <v>5.2956298200514127E-3</v>
      </c>
      <c r="X4">
        <f t="shared" si="10"/>
        <v>5.2956298200514125</v>
      </c>
      <c r="Y4">
        <f t="shared" si="11"/>
        <v>2.5850722305075697E-2</v>
      </c>
      <c r="Z4">
        <f>2/9*9.81*U4*U4/1000000/W4*(7800-B4)/4</f>
        <v>0.4866980003003642</v>
      </c>
      <c r="AA4" s="1">
        <f t="shared" si="12"/>
        <v>5.7307857051051708E-2</v>
      </c>
      <c r="AB4">
        <f>LN(Z4*1000)</f>
        <v>6.1876438081405309</v>
      </c>
      <c r="AC4">
        <f>K4</f>
        <v>3.29077267342372E-3</v>
      </c>
      <c r="AD4">
        <f>B4*W4*0.028/Z4</f>
        <v>0.38219654271093728</v>
      </c>
      <c r="AE4" s="4">
        <f t="shared" si="13"/>
        <v>4.5041645957325002E-2</v>
      </c>
      <c r="AF4">
        <f>2/9*U4*U4*7800/Z4/1000000</f>
        <v>2.5731220028856901E-3</v>
      </c>
      <c r="AG4">
        <f t="shared" si="14"/>
        <v>2.57312200288569</v>
      </c>
      <c r="AH4" s="4">
        <f t="shared" si="15"/>
        <v>0.35436944769245338</v>
      </c>
      <c r="AI4">
        <f t="shared" si="16"/>
        <v>1.3627202949381503E-5</v>
      </c>
      <c r="AJ4">
        <f t="shared" si="17"/>
        <v>13.627202949381504</v>
      </c>
      <c r="AK4" s="5">
        <f t="shared" si="18"/>
        <v>1.8779121147006568</v>
      </c>
    </row>
    <row r="5" spans="1:37" x14ac:dyDescent="0.3">
      <c r="A5">
        <v>30.88</v>
      </c>
      <c r="B5">
        <v>1254.5</v>
      </c>
      <c r="C5">
        <v>2.15</v>
      </c>
      <c r="D5">
        <v>34.730000000000004</v>
      </c>
      <c r="E5">
        <f t="shared" si="0"/>
        <v>5.9314713504175064E-3</v>
      </c>
      <c r="F5">
        <f>E5*1000</f>
        <v>5.9314713504175067</v>
      </c>
      <c r="G5">
        <f t="shared" si="1"/>
        <v>2.8995447371009099E-2</v>
      </c>
      <c r="H5">
        <f>2/9*9.81*C5*C5/1000000/E5*(2500-B5)/4</f>
        <v>0.52899883660891989</v>
      </c>
      <c r="I5" s="1">
        <f t="shared" si="2"/>
        <v>2.4740117100561815E-2</v>
      </c>
      <c r="J5">
        <f t="shared" si="3"/>
        <v>6.2709862326288865</v>
      </c>
      <c r="K5">
        <f>1/(A5+273)</f>
        <v>3.29077267342372E-3</v>
      </c>
      <c r="L5">
        <f>B5*E5*0.028/H5</f>
        <v>0.39385504888887723</v>
      </c>
      <c r="M5" s="4">
        <f t="shared" si="4"/>
        <v>1.8520087040208674E-2</v>
      </c>
      <c r="N5">
        <f>2/9*C5*C5*2500/H5/1000000</f>
        <v>4.8545580402742476E-3</v>
      </c>
      <c r="O5" s="1">
        <f t="shared" si="5"/>
        <v>4.8545580402742479</v>
      </c>
      <c r="P5" s="1">
        <f t="shared" si="6"/>
        <v>0.41446864641210857</v>
      </c>
      <c r="Q5">
        <f t="shared" si="19"/>
        <v>2.8798696852941353E-5</v>
      </c>
      <c r="R5">
        <f t="shared" si="7"/>
        <v>28.798696852941351</v>
      </c>
      <c r="S5" s="5">
        <f t="shared" si="8"/>
        <v>2.4627795240256933</v>
      </c>
      <c r="U5">
        <v>0.9</v>
      </c>
      <c r="V5">
        <v>38.06</v>
      </c>
      <c r="W5">
        <f t="shared" si="9"/>
        <v>5.4125065685759321E-3</v>
      </c>
      <c r="X5">
        <f t="shared" si="10"/>
        <v>5.4125065685759317</v>
      </c>
      <c r="Y5">
        <f t="shared" si="11"/>
        <v>2.642779771674705E-2</v>
      </c>
      <c r="Z5">
        <f>2/9*9.81*U5*U5/1000000/W5*(7800-B5)/4</f>
        <v>0.53385819275970892</v>
      </c>
      <c r="AA5" s="1">
        <f t="shared" si="12"/>
        <v>5.9374824138174916E-2</v>
      </c>
      <c r="AB5">
        <f>LN(Z5*1000)</f>
        <v>6.2801302470640312</v>
      </c>
      <c r="AC5">
        <f>K5</f>
        <v>3.29077267342372E-3</v>
      </c>
      <c r="AD5">
        <f>B5*W5*0.028/Z5</f>
        <v>0.35612398255986233</v>
      </c>
      <c r="AE5" s="4">
        <f t="shared" si="13"/>
        <v>3.9645671029618933E-2</v>
      </c>
      <c r="AF5">
        <f>2/9*U5*U5*7800/Z5/1000000</f>
        <v>2.6299118736798043E-3</v>
      </c>
      <c r="AG5">
        <f t="shared" si="14"/>
        <v>2.6299118736798044</v>
      </c>
      <c r="AH5" s="4">
        <f t="shared" si="15"/>
        <v>0.34762183564498877</v>
      </c>
      <c r="AI5">
        <f t="shared" si="16"/>
        <v>1.4235398876401169E-5</v>
      </c>
      <c r="AJ5">
        <f t="shared" si="17"/>
        <v>14.235398876401169</v>
      </c>
      <c r="AK5" s="5">
        <f t="shared" si="18"/>
        <v>1.8829188459128359</v>
      </c>
    </row>
    <row r="6" spans="1:37" x14ac:dyDescent="0.3">
      <c r="A6">
        <v>37.44</v>
      </c>
      <c r="B6">
        <v>1252.5</v>
      </c>
      <c r="C6">
        <v>2.0001000000000002</v>
      </c>
      <c r="D6">
        <v>25.34</v>
      </c>
      <c r="E6">
        <f t="shared" si="0"/>
        <v>8.1294396211523297E-3</v>
      </c>
      <c r="F6">
        <f>E6*1000</f>
        <v>8.1294396211523292</v>
      </c>
      <c r="G6">
        <f t="shared" si="1"/>
        <v>3.9981505195110706E-2</v>
      </c>
      <c r="H6">
        <f>2/9*9.81*C6*C6/1000000/E6*(2500-B6)/4</f>
        <v>0.3345645073397257</v>
      </c>
      <c r="I6" s="1">
        <f t="shared" si="2"/>
        <v>1.680812214111306E-2</v>
      </c>
      <c r="J6">
        <f t="shared" si="3"/>
        <v>5.8128297080301667</v>
      </c>
      <c r="K6">
        <f>1/(A6+273)</f>
        <v>3.2212343770132716E-3</v>
      </c>
      <c r="L6">
        <f>B6*E6*0.028/H6</f>
        <v>0.85215090441232799</v>
      </c>
      <c r="M6" s="4">
        <f t="shared" si="4"/>
        <v>4.3015693891804554E-2</v>
      </c>
      <c r="N6">
        <f>2/9*C6*C6*2500/H6/1000000</f>
        <v>6.6427980292101674E-3</v>
      </c>
      <c r="O6" s="1">
        <f t="shared" si="5"/>
        <v>6.6427980292101676</v>
      </c>
      <c r="P6" s="1">
        <f t="shared" si="6"/>
        <v>0.58009462489673025</v>
      </c>
      <c r="Q6">
        <f t="shared" si="19"/>
        <v>5.4016382000567442E-5</v>
      </c>
      <c r="R6">
        <f t="shared" si="7"/>
        <v>54.01638200056744</v>
      </c>
      <c r="S6" s="5">
        <f t="shared" si="8"/>
        <v>4.724555291863191</v>
      </c>
      <c r="U6">
        <v>0.9</v>
      </c>
      <c r="V6">
        <v>25.880000000000003</v>
      </c>
      <c r="W6">
        <f t="shared" si="9"/>
        <v>7.9598145285935066E-3</v>
      </c>
      <c r="X6">
        <f t="shared" si="10"/>
        <v>7.9598145285935065</v>
      </c>
      <c r="Y6">
        <f t="shared" si="11"/>
        <v>3.9126446856065644E-2</v>
      </c>
      <c r="Z6">
        <f>2/9*9.81*U6*U6/1000000/W6*(7800-B6)/4</f>
        <v>0.36312326934466033</v>
      </c>
      <c r="AA6" s="1">
        <f t="shared" si="12"/>
        <v>4.0386492843916072E-2</v>
      </c>
      <c r="AB6">
        <f>LN(Z6*1000)</f>
        <v>5.8947423615904402</v>
      </c>
      <c r="AC6">
        <f>K6</f>
        <v>3.2212343770132716E-3</v>
      </c>
      <c r="AD6">
        <f>B6*W6*0.028/Z6</f>
        <v>0.76874912484007452</v>
      </c>
      <c r="AE6" s="4">
        <f t="shared" si="13"/>
        <v>8.5583577592011323E-2</v>
      </c>
      <c r="AF6">
        <f>2/9*U6*U6*7800/Z6/1000000</f>
        <v>3.8664556048248898E-3</v>
      </c>
      <c r="AG6">
        <f t="shared" si="14"/>
        <v>3.8664556048248899</v>
      </c>
      <c r="AH6" s="4">
        <f t="shared" si="15"/>
        <v>0.51107292161849716</v>
      </c>
      <c r="AI6">
        <f t="shared" si="16"/>
        <v>3.0780867452612874E-5</v>
      </c>
      <c r="AJ6">
        <f t="shared" si="17"/>
        <v>30.780867452612874</v>
      </c>
      <c r="AK6" s="5">
        <f t="shared" si="18"/>
        <v>4.0714657574633479</v>
      </c>
    </row>
    <row r="7" spans="1:37" x14ac:dyDescent="0.3">
      <c r="A7">
        <v>37.44</v>
      </c>
      <c r="B7">
        <v>1252.5</v>
      </c>
      <c r="C7">
        <v>2.1</v>
      </c>
      <c r="D7">
        <v>24.11</v>
      </c>
      <c r="E7">
        <f t="shared" si="0"/>
        <v>8.5441725425134812E-3</v>
      </c>
      <c r="F7">
        <f>E7*1000</f>
        <v>8.5441725425134809</v>
      </c>
      <c r="G7">
        <f t="shared" si="1"/>
        <v>4.2077789999270192E-2</v>
      </c>
      <c r="H7">
        <f>2/9*9.81*C7*C7/1000000/E7*(2500-B7)/4</f>
        <v>0.35091799236043686</v>
      </c>
      <c r="I7" s="1">
        <f t="shared" si="2"/>
        <v>1.6799506530141551E-2</v>
      </c>
      <c r="J7">
        <f t="shared" si="3"/>
        <v>5.8605525561690337</v>
      </c>
      <c r="K7">
        <f>1/(A7+273)</f>
        <v>3.2212343770132716E-3</v>
      </c>
      <c r="L7">
        <f>B7*E7*0.028/H7</f>
        <v>0.85388648513119181</v>
      </c>
      <c r="M7" s="4">
        <f t="shared" si="4"/>
        <v>4.1093855856865764E-2</v>
      </c>
      <c r="N7">
        <f>2/9*C7*C7*2500/H7/1000000</f>
        <v>6.9816881816750585E-3</v>
      </c>
      <c r="O7" s="1">
        <f t="shared" si="5"/>
        <v>6.9816881816750582</v>
      </c>
      <c r="P7" s="1">
        <f t="shared" si="6"/>
        <v>0.60033861794295285</v>
      </c>
      <c r="Q7">
        <f t="shared" si="19"/>
        <v>5.9670022493322515E-5</v>
      </c>
      <c r="R7">
        <f t="shared" si="7"/>
        <v>59.670022493322513</v>
      </c>
      <c r="S7" s="5">
        <f t="shared" si="8"/>
        <v>5.139290239003115</v>
      </c>
      <c r="U7">
        <v>0.8</v>
      </c>
      <c r="V7">
        <v>30.86</v>
      </c>
      <c r="W7">
        <f t="shared" si="9"/>
        <v>6.6753078418664933E-3</v>
      </c>
      <c r="X7">
        <f t="shared" si="10"/>
        <v>6.6753078418664931</v>
      </c>
      <c r="Y7">
        <f t="shared" si="11"/>
        <v>3.2691917873279124E-2</v>
      </c>
      <c r="Z7">
        <f>2/9*9.81*U7*U7/1000000/W7*(7800-B7)/4</f>
        <v>0.34212174990291272</v>
      </c>
      <c r="AA7" s="1">
        <f t="shared" si="12"/>
        <v>4.2798029197080305E-2</v>
      </c>
      <c r="AB7">
        <f>LN(Z7*1000)</f>
        <v>5.8351666675799887</v>
      </c>
      <c r="AC7">
        <f>K7</f>
        <v>3.2212343770132716E-3</v>
      </c>
      <c r="AD7">
        <f>B7*W7*0.028/Z7</f>
        <v>0.68426823515515067</v>
      </c>
      <c r="AE7" s="4">
        <f t="shared" si="13"/>
        <v>8.5664725705066003E-2</v>
      </c>
      <c r="AF7">
        <f>2/9*U7*U7*7800/Z7/1000000</f>
        <v>3.2425104035278076E-3</v>
      </c>
      <c r="AG7">
        <f t="shared" si="14"/>
        <v>3.2425104035278078</v>
      </c>
      <c r="AH7" s="4">
        <f t="shared" si="15"/>
        <v>0.46709063793577271</v>
      </c>
      <c r="AI7">
        <f t="shared" si="16"/>
        <v>2.1647029373635768E-5</v>
      </c>
      <c r="AJ7">
        <f t="shared" si="17"/>
        <v>21.647029373635768</v>
      </c>
      <c r="AK7" s="5">
        <f t="shared" si="18"/>
        <v>3.1201030209456562</v>
      </c>
    </row>
    <row r="8" spans="1:37" x14ac:dyDescent="0.3">
      <c r="A8">
        <v>43.1</v>
      </c>
      <c r="B8">
        <v>1250.5</v>
      </c>
      <c r="C8">
        <v>2.2000000000000002</v>
      </c>
      <c r="D8">
        <v>15.989999999999995</v>
      </c>
      <c r="E8">
        <f t="shared" si="0"/>
        <v>1.2883051907442156E-2</v>
      </c>
      <c r="F8">
        <f>E8*1000</f>
        <v>12.883051907442155</v>
      </c>
      <c r="G8">
        <f t="shared" si="1"/>
        <v>6.4581690269059355E-2</v>
      </c>
      <c r="H8">
        <f>2/9*9.81*C8*C8/1000000/E8*(2500-B8)/4</f>
        <v>0.25583465188834953</v>
      </c>
      <c r="I8" s="1">
        <f t="shared" si="2"/>
        <v>1.1699352631597231E-2</v>
      </c>
      <c r="J8">
        <f t="shared" si="3"/>
        <v>5.5445313447409363</v>
      </c>
      <c r="K8">
        <f>1/(A8+273)</f>
        <v>3.1635558367605187E-3</v>
      </c>
      <c r="L8">
        <f>B8*E8*0.028/H8</f>
        <v>1.7631981287821852</v>
      </c>
      <c r="M8" s="4">
        <f t="shared" si="4"/>
        <v>8.1114289206839413E-2</v>
      </c>
      <c r="N8">
        <f>2/9*C8*C8*2500/H8/1000000</f>
        <v>1.0510260705662208E-2</v>
      </c>
      <c r="O8" s="1">
        <f t="shared" si="5"/>
        <v>10.510260705662208</v>
      </c>
      <c r="P8" s="1">
        <f t="shared" si="6"/>
        <v>0.89140927560048155</v>
      </c>
      <c r="Q8">
        <f t="shared" si="19"/>
        <v>1.3549323572037788E-4</v>
      </c>
      <c r="R8">
        <f t="shared" si="7"/>
        <v>135.49323572037787</v>
      </c>
      <c r="S8" s="5">
        <f t="shared" si="8"/>
        <v>11.511675648239949</v>
      </c>
      <c r="U8">
        <v>0.7</v>
      </c>
      <c r="V8">
        <v>29.939999999999998</v>
      </c>
      <c r="W8">
        <f t="shared" si="9"/>
        <v>6.8804275217100872E-3</v>
      </c>
      <c r="X8">
        <f t="shared" si="10"/>
        <v>6.8804275217100868</v>
      </c>
      <c r="Y8">
        <f t="shared" si="11"/>
        <v>3.3714884901450304E-2</v>
      </c>
      <c r="Z8">
        <f>2/9*9.81*U8*U8/1000000/W8*(7800-B8)/4</f>
        <v>0.25420571170631068</v>
      </c>
      <c r="AA8" s="1">
        <f t="shared" si="12"/>
        <v>3.6336458570521549E-2</v>
      </c>
      <c r="AB8">
        <f>LN(Z8*1000)</f>
        <v>5.5381438278432471</v>
      </c>
      <c r="AC8">
        <f>K8</f>
        <v>3.1635558367605187E-3</v>
      </c>
      <c r="AD8">
        <f>B8*W8*0.028/Z8</f>
        <v>0.9477021095556144</v>
      </c>
      <c r="AE8" s="4">
        <f t="shared" si="13"/>
        <v>0.13554520981495385</v>
      </c>
      <c r="AF8">
        <f>2/9*U8*U8*7800/Z8/1000000</f>
        <v>3.3411260810480379E-3</v>
      </c>
      <c r="AG8">
        <f t="shared" si="14"/>
        <v>3.3411260810480381</v>
      </c>
      <c r="AH8" s="4">
        <f t="shared" si="15"/>
        <v>0.53389287086587078</v>
      </c>
      <c r="AI8">
        <f t="shared" si="16"/>
        <v>2.2990941207681395E-5</v>
      </c>
      <c r="AJ8">
        <f t="shared" si="17"/>
        <v>22.990941207681395</v>
      </c>
      <c r="AK8" s="5">
        <f t="shared" si="18"/>
        <v>3.6755480680491472</v>
      </c>
    </row>
    <row r="9" spans="1:37" x14ac:dyDescent="0.3">
      <c r="A9">
        <v>43.1</v>
      </c>
      <c r="B9">
        <v>1250.5</v>
      </c>
      <c r="C9">
        <v>2.2000009999999999</v>
      </c>
      <c r="D9">
        <v>14.61</v>
      </c>
      <c r="E9">
        <f t="shared" si="0"/>
        <v>1.4099931553730323E-2</v>
      </c>
      <c r="F9">
        <f>E9*1000</f>
        <v>14.099931553730324</v>
      </c>
      <c r="G9">
        <f t="shared" si="1"/>
        <v>7.1115747580394809E-2</v>
      </c>
      <c r="H9">
        <f>2/9*9.81*C9*C9/1000000/E9*(2500-B9)/4</f>
        <v>0.2337553259561532</v>
      </c>
      <c r="I9" s="1">
        <f t="shared" si="2"/>
        <v>1.0690448321516107E-2</v>
      </c>
      <c r="J9">
        <f t="shared" si="3"/>
        <v>5.454274952748384</v>
      </c>
      <c r="K9">
        <f>1/(A9+273)</f>
        <v>3.1635558367605187E-3</v>
      </c>
      <c r="L9">
        <f>B9*E9*0.028/H9</f>
        <v>2.1120160638175949</v>
      </c>
      <c r="M9" s="4">
        <f t="shared" si="4"/>
        <v>9.7175498594368193E-2</v>
      </c>
      <c r="N9">
        <f>2/9*C9*C9*2500/H9/1000000</f>
        <v>1.1503016336997853E-2</v>
      </c>
      <c r="O9" s="1">
        <f t="shared" si="5"/>
        <v>11.503016336997852</v>
      </c>
      <c r="P9" s="1">
        <f t="shared" si="6"/>
        <v>0.97562895924191473</v>
      </c>
      <c r="Q9">
        <f t="shared" si="19"/>
        <v>1.6231944282622617E-4</v>
      </c>
      <c r="R9">
        <f t="shared" si="7"/>
        <v>162.31944282622618</v>
      </c>
      <c r="S9" s="5">
        <f t="shared" si="8"/>
        <v>13.791453429530366</v>
      </c>
      <c r="U9">
        <v>0.65</v>
      </c>
      <c r="V9">
        <v>33.320000000000007</v>
      </c>
      <c r="W9">
        <f t="shared" si="9"/>
        <v>6.1824729891956764E-3</v>
      </c>
      <c r="X9">
        <f t="shared" si="10"/>
        <v>6.1824729891956762</v>
      </c>
      <c r="Y9">
        <f t="shared" si="11"/>
        <v>3.0240564099721236E-2</v>
      </c>
      <c r="Z9">
        <f>2/9*9.81*U9*U9/1000000/W9*(7800-B9)/4</f>
        <v>0.24393220097936905</v>
      </c>
      <c r="AA9" s="1">
        <f t="shared" si="12"/>
        <v>3.7546993529657569E-2</v>
      </c>
      <c r="AB9">
        <f>LN(Z9*1000)</f>
        <v>5.4968903218429634</v>
      </c>
      <c r="AC9">
        <f>K9</f>
        <v>3.1635558367605187E-3</v>
      </c>
      <c r="AD9">
        <f>B9*W9*0.028/Z9</f>
        <v>0.88743145994901251</v>
      </c>
      <c r="AE9" s="4">
        <f t="shared" si="13"/>
        <v>0.136665854991083</v>
      </c>
      <c r="AF9">
        <f>2/9*U9*U9*7800/Z9/1000000</f>
        <v>3.002200326127798E-3</v>
      </c>
      <c r="AG9">
        <f t="shared" si="14"/>
        <v>3.0022003261277979</v>
      </c>
      <c r="AH9" s="4">
        <f t="shared" si="15"/>
        <v>0.50944256794815423</v>
      </c>
      <c r="AI9">
        <f t="shared" si="16"/>
        <v>1.8562694810621313E-5</v>
      </c>
      <c r="AJ9">
        <f t="shared" si="17"/>
        <v>18.562694810621313</v>
      </c>
      <c r="AK9" s="5">
        <f t="shared" si="18"/>
        <v>3.1512070425961429</v>
      </c>
    </row>
    <row r="10" spans="1:37" x14ac:dyDescent="0.3">
      <c r="A10">
        <v>50.3</v>
      </c>
      <c r="B10">
        <v>1247</v>
      </c>
      <c r="C10">
        <v>2.1</v>
      </c>
      <c r="D10">
        <v>8.9400000000000119</v>
      </c>
      <c r="E10">
        <f t="shared" si="0"/>
        <v>2.3042505592841135E-2</v>
      </c>
      <c r="F10">
        <f>E10*1000</f>
        <v>23.042505592841135</v>
      </c>
      <c r="G10">
        <f t="shared" si="1"/>
        <v>0.12316359841575106</v>
      </c>
      <c r="H10">
        <f>2/9*9.81*C10*C10/1000000/E10*(2500-B10)/4</f>
        <v>0.13069424407281571</v>
      </c>
      <c r="I10" s="1">
        <f t="shared" si="2"/>
        <v>6.2626185829514694E-3</v>
      </c>
      <c r="J10">
        <f t="shared" si="3"/>
        <v>4.8728605804317731</v>
      </c>
      <c r="K10">
        <f>1/(A10+273)</f>
        <v>3.0931023816888337E-3</v>
      </c>
      <c r="L10">
        <f>B10*E10*0.028/H10</f>
        <v>6.155987442196678</v>
      </c>
      <c r="M10" s="4">
        <f t="shared" si="4"/>
        <v>0.29681264704636123</v>
      </c>
      <c r="N10">
        <f>2/9*C10*C10*2500/H10/1000000</f>
        <v>1.8746043617919345E-2</v>
      </c>
      <c r="O10" s="1">
        <f t="shared" si="5"/>
        <v>18.746043617919344</v>
      </c>
      <c r="P10" s="1">
        <f t="shared" si="6"/>
        <v>1.6123977854089337</v>
      </c>
      <c r="Q10">
        <f t="shared" si="19"/>
        <v>4.328615713466095E-4</v>
      </c>
      <c r="R10">
        <f t="shared" si="7"/>
        <v>432.86157134660948</v>
      </c>
      <c r="S10" s="5">
        <f t="shared" si="8"/>
        <v>37.303411166820688</v>
      </c>
      <c r="U10">
        <v>0.75</v>
      </c>
      <c r="V10">
        <v>14.63</v>
      </c>
      <c r="W10">
        <f t="shared" si="9"/>
        <v>1.4080656185919343E-2</v>
      </c>
      <c r="X10">
        <f t="shared" si="10"/>
        <v>14.080656185919343</v>
      </c>
      <c r="Y10">
        <f t="shared" si="11"/>
        <v>7.1011381176480426E-2</v>
      </c>
      <c r="Z10">
        <f>2/9*9.81*U10*U10/1000000/W10*(7800-B10)/4</f>
        <v>0.14267119628337382</v>
      </c>
      <c r="AA10" s="1">
        <f t="shared" si="12"/>
        <v>1.903642878762131E-2</v>
      </c>
      <c r="AB10">
        <f>LN(Z10*1000)</f>
        <v>4.9605426560594941</v>
      </c>
      <c r="AC10">
        <f>K10</f>
        <v>3.0931023816888337E-3</v>
      </c>
      <c r="AD10">
        <f>B10*W10*0.028/Z10</f>
        <v>3.4459666996207354</v>
      </c>
      <c r="AE10" s="4">
        <f t="shared" si="13"/>
        <v>0.46011908559735398</v>
      </c>
      <c r="AF10">
        <f>2/9*U10*U10*7800/Z10/1000000</f>
        <v>6.8338951757539968E-3</v>
      </c>
      <c r="AG10">
        <f t="shared" si="14"/>
        <v>6.8338951757539972</v>
      </c>
      <c r="AH10" s="4">
        <f t="shared" si="15"/>
        <v>1.0342745853242807</v>
      </c>
      <c r="AI10">
        <f t="shared" si="16"/>
        <v>9.6270676879445355E-5</v>
      </c>
      <c r="AJ10">
        <f t="shared" si="17"/>
        <v>96.270676879445361</v>
      </c>
      <c r="AK10" s="5">
        <f t="shared" si="18"/>
        <v>14.578154535163586</v>
      </c>
    </row>
    <row r="11" spans="1:37" x14ac:dyDescent="0.3">
      <c r="A11">
        <v>50.3</v>
      </c>
      <c r="B11">
        <v>1247</v>
      </c>
      <c r="C11">
        <v>2.15</v>
      </c>
      <c r="D11">
        <v>8.91</v>
      </c>
      <c r="E11">
        <f t="shared" si="0"/>
        <v>2.3120089786756455E-2</v>
      </c>
      <c r="F11">
        <f>E11*1000</f>
        <v>23.120089786756456</v>
      </c>
      <c r="G11">
        <f t="shared" si="1"/>
        <v>0.12365128138441359</v>
      </c>
      <c r="H11">
        <f>2/9*9.81*C11*C11/1000000/E11*(2500-B11)/4</f>
        <v>0.13653216495327669</v>
      </c>
      <c r="I11" s="1">
        <f t="shared" si="2"/>
        <v>6.3921772507222457E-3</v>
      </c>
      <c r="J11">
        <f t="shared" si="3"/>
        <v>4.9165602275494553</v>
      </c>
      <c r="K11">
        <f>1/(A11+273)</f>
        <v>3.0931023816888337E-3</v>
      </c>
      <c r="L11">
        <f>B11*E11*0.028/H11</f>
        <v>5.9126071520996168</v>
      </c>
      <c r="M11" s="4">
        <f t="shared" si="4"/>
        <v>0.27861735731109338</v>
      </c>
      <c r="N11">
        <f>2/9*C11*C11*2500/H11/1000000</f>
        <v>1.8809161609898893E-2</v>
      </c>
      <c r="O11" s="1">
        <f t="shared" si="5"/>
        <v>18.809161609898894</v>
      </c>
      <c r="P11" s="1">
        <f t="shared" si="6"/>
        <v>1.6063922361910732</v>
      </c>
      <c r="Q11">
        <f t="shared" si="19"/>
        <v>4.3578752215963458E-4</v>
      </c>
      <c r="R11">
        <f t="shared" si="7"/>
        <v>435.78752215963459</v>
      </c>
      <c r="S11" s="5">
        <f t="shared" si="8"/>
        <v>37.291240492178183</v>
      </c>
      <c r="U11">
        <v>0.85</v>
      </c>
      <c r="V11">
        <v>12.8</v>
      </c>
      <c r="W11">
        <f t="shared" si="9"/>
        <v>1.6093749999999997E-2</v>
      </c>
      <c r="X11">
        <f t="shared" si="10"/>
        <v>16.093749999999996</v>
      </c>
      <c r="Y11">
        <f t="shared" si="11"/>
        <v>8.2072293140999272E-2</v>
      </c>
      <c r="Z11">
        <f>2/9*9.81*U11*U11/1000000/W11*(7800-B11)/4</f>
        <v>0.16033091495145632</v>
      </c>
      <c r="AA11" s="1">
        <f t="shared" si="12"/>
        <v>1.8880173127831273E-2</v>
      </c>
      <c r="AB11">
        <f>LN(Z11*1000)</f>
        <v>5.0772398978610447</v>
      </c>
      <c r="AC11">
        <f>K11</f>
        <v>3.0931023816888337E-3</v>
      </c>
      <c r="AD11">
        <f>B11*W11*0.028/Z11</f>
        <v>3.5048098813016586</v>
      </c>
      <c r="AE11" s="4">
        <f t="shared" si="13"/>
        <v>0.41310459855894388</v>
      </c>
      <c r="AF11">
        <f>2/9*U11*U11*7800/Z11/1000000</f>
        <v>7.8109286266625777E-3</v>
      </c>
      <c r="AG11">
        <f t="shared" si="14"/>
        <v>7.8109286266625775</v>
      </c>
      <c r="AH11" s="4">
        <f t="shared" si="15"/>
        <v>1.0757800499631593</v>
      </c>
      <c r="AI11">
        <f t="shared" si="16"/>
        <v>1.2578384269788884E-4</v>
      </c>
      <c r="AJ11">
        <f t="shared" si="17"/>
        <v>125.78384269788884</v>
      </c>
      <c r="AK11" s="5">
        <f t="shared" si="18"/>
        <v>17.3357717285154</v>
      </c>
    </row>
    <row r="13" spans="1:37" x14ac:dyDescent="0.3">
      <c r="A13">
        <v>6589</v>
      </c>
      <c r="U13">
        <v>5786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EED6-8173-42D8-8300-2C951ABD9379}">
  <dimension ref="A1:U11"/>
  <sheetViews>
    <sheetView tabSelected="1" workbookViewId="0">
      <selection activeCell="U2" sqref="U2:U11"/>
    </sheetView>
  </sheetViews>
  <sheetFormatPr defaultRowHeight="14.4" x14ac:dyDescent="0.3"/>
  <cols>
    <col min="15" max="15" width="12" bestFit="1" customWidth="1"/>
  </cols>
  <sheetData>
    <row r="1" spans="1:21" x14ac:dyDescent="0.3">
      <c r="A1" t="s">
        <v>34</v>
      </c>
      <c r="B1">
        <v>1000</v>
      </c>
      <c r="C1" t="s">
        <v>26</v>
      </c>
      <c r="D1" t="s">
        <v>33</v>
      </c>
      <c r="F1" t="s">
        <v>34</v>
      </c>
      <c r="G1">
        <v>1000</v>
      </c>
      <c r="H1" t="s">
        <v>26</v>
      </c>
      <c r="I1" t="s">
        <v>33</v>
      </c>
    </row>
    <row r="2" spans="1:21" x14ac:dyDescent="0.3">
      <c r="A2">
        <v>0.13581661425619287</v>
      </c>
      <c r="B2">
        <v>2.7844848177225092</v>
      </c>
      <c r="C2">
        <v>9.4471372966890303E-6</v>
      </c>
      <c r="D2">
        <v>9.4471372966890304</v>
      </c>
      <c r="F2">
        <v>0.13663815171156785</v>
      </c>
      <c r="G2">
        <v>1.4463893255318439</v>
      </c>
      <c r="H2">
        <v>4.3033279205243901E-6</v>
      </c>
      <c r="I2">
        <v>4.3033279205243904</v>
      </c>
      <c r="N2">
        <v>3.3795201081446439E-3</v>
      </c>
      <c r="O2">
        <f>N2*N2</f>
        <v>1.1421156161353986E-5</v>
      </c>
      <c r="Q2">
        <v>6.779780431931079</v>
      </c>
      <c r="R2">
        <f>Q2*Q2</f>
        <v>45.965422705195571</v>
      </c>
      <c r="T2">
        <v>6.6424441826694443</v>
      </c>
      <c r="U2">
        <f>T2*T2</f>
        <v>44.122064719879141</v>
      </c>
    </row>
    <row r="3" spans="1:21" x14ac:dyDescent="0.3">
      <c r="A3">
        <v>0.11923117451425959</v>
      </c>
      <c r="B3">
        <v>2.7331703545443053</v>
      </c>
      <c r="C3">
        <v>9.1021333594901738E-6</v>
      </c>
      <c r="D3">
        <v>9.102133359490173</v>
      </c>
      <c r="F3">
        <v>0.12612018106279824</v>
      </c>
      <c r="G3">
        <v>1.4764557997910204</v>
      </c>
      <c r="H3">
        <v>4.484100179692767E-6</v>
      </c>
      <c r="I3">
        <v>4.4841001796927671</v>
      </c>
      <c r="N3">
        <v>3.3795201081446439E-3</v>
      </c>
      <c r="O3">
        <f t="shared" ref="O3:O11" si="0">N3*N3</f>
        <v>1.1421156161353986E-5</v>
      </c>
      <c r="Q3">
        <v>6.8914210973704142</v>
      </c>
      <c r="R3">
        <f t="shared" ref="R3:R11" si="1">Q3*Q3</f>
        <v>47.491684741282043</v>
      </c>
      <c r="T3">
        <v>6.7431192709522936</v>
      </c>
      <c r="U3">
        <f t="shared" ref="U3:U11" si="2">T3*T3</f>
        <v>45.469657502288193</v>
      </c>
    </row>
    <row r="4" spans="1:21" x14ac:dyDescent="0.3">
      <c r="A4">
        <v>0.40556447669323353</v>
      </c>
      <c r="B4">
        <v>4.5827344587856684</v>
      </c>
      <c r="C4">
        <v>2.5663519786849536E-5</v>
      </c>
      <c r="D4">
        <v>25.663519786849537</v>
      </c>
      <c r="F4">
        <v>0.38219654271093728</v>
      </c>
      <c r="G4">
        <v>2.57312200288569</v>
      </c>
      <c r="H4">
        <v>1.3627202949381503E-5</v>
      </c>
      <c r="I4">
        <v>13.627202949381504</v>
      </c>
      <c r="N4">
        <v>3.29077267342372E-3</v>
      </c>
      <c r="O4">
        <f t="shared" si="0"/>
        <v>1.0829184788152296E-5</v>
      </c>
      <c r="Q4">
        <v>6.1840671093304183</v>
      </c>
      <c r="R4">
        <f t="shared" si="1"/>
        <v>38.242686012702272</v>
      </c>
      <c r="T4">
        <v>6.1876438081405309</v>
      </c>
      <c r="U4">
        <f t="shared" si="2"/>
        <v>38.286935896419848</v>
      </c>
    </row>
    <row r="5" spans="1:21" x14ac:dyDescent="0.3">
      <c r="A5">
        <v>0.39385504888887723</v>
      </c>
      <c r="B5">
        <v>4.8545580402742479</v>
      </c>
      <c r="C5">
        <v>2.8798696852941353E-5</v>
      </c>
      <c r="D5">
        <v>28.798696852941351</v>
      </c>
      <c r="F5">
        <v>0.35612398255986233</v>
      </c>
      <c r="G5">
        <v>2.6299118736798044</v>
      </c>
      <c r="H5">
        <v>1.4235398876401169E-5</v>
      </c>
      <c r="I5">
        <v>14.235398876401169</v>
      </c>
      <c r="N5">
        <v>3.29077267342372E-3</v>
      </c>
      <c r="O5">
        <f t="shared" si="0"/>
        <v>1.0829184788152296E-5</v>
      </c>
      <c r="Q5">
        <v>6.2709862326288865</v>
      </c>
      <c r="R5">
        <f t="shared" si="1"/>
        <v>39.325268329821036</v>
      </c>
      <c r="T5">
        <v>6.2801302470640312</v>
      </c>
      <c r="U5">
        <f t="shared" si="2"/>
        <v>39.440035920088533</v>
      </c>
    </row>
    <row r="6" spans="1:21" x14ac:dyDescent="0.3">
      <c r="A6">
        <v>0.85215090441232799</v>
      </c>
      <c r="B6">
        <v>6.6427980292101676</v>
      </c>
      <c r="C6">
        <v>5.4016382000567442E-5</v>
      </c>
      <c r="D6">
        <v>54.01638200056744</v>
      </c>
      <c r="F6">
        <v>0.76874912484007452</v>
      </c>
      <c r="G6">
        <v>3.8664556048248899</v>
      </c>
      <c r="H6">
        <v>3.0780867452612874E-5</v>
      </c>
      <c r="I6">
        <v>30.780867452612874</v>
      </c>
      <c r="N6">
        <v>3.2212343770132716E-3</v>
      </c>
      <c r="O6">
        <f t="shared" si="0"/>
        <v>1.037635091165208E-5</v>
      </c>
      <c r="Q6">
        <v>5.8128297080301667</v>
      </c>
      <c r="R6">
        <f t="shared" si="1"/>
        <v>33.788989214558072</v>
      </c>
      <c r="T6">
        <v>5.8947423615904402</v>
      </c>
      <c r="U6">
        <f t="shared" si="2"/>
        <v>34.747987509528841</v>
      </c>
    </row>
    <row r="7" spans="1:21" x14ac:dyDescent="0.3">
      <c r="A7">
        <v>0.85388648513119181</v>
      </c>
      <c r="B7">
        <v>6.9816881816750582</v>
      </c>
      <c r="C7">
        <v>5.9670022493322515E-5</v>
      </c>
      <c r="D7">
        <v>59.670022493322513</v>
      </c>
      <c r="F7">
        <v>0.68426823515515067</v>
      </c>
      <c r="G7">
        <v>3.2425104035278078</v>
      </c>
      <c r="H7">
        <v>2.1647029373635768E-5</v>
      </c>
      <c r="I7">
        <v>21.647029373635768</v>
      </c>
      <c r="N7">
        <v>3.2212343770132716E-3</v>
      </c>
      <c r="O7">
        <f t="shared" si="0"/>
        <v>1.037635091165208E-5</v>
      </c>
      <c r="Q7">
        <v>5.8605525561690337</v>
      </c>
      <c r="R7">
        <f t="shared" si="1"/>
        <v>34.346076263619395</v>
      </c>
      <c r="T7">
        <v>5.8351666675799887</v>
      </c>
      <c r="U7">
        <f t="shared" si="2"/>
        <v>34.04917003843655</v>
      </c>
    </row>
    <row r="8" spans="1:21" x14ac:dyDescent="0.3">
      <c r="A8">
        <v>1.7631981287821852</v>
      </c>
      <c r="B8">
        <v>10.510260705662208</v>
      </c>
      <c r="C8">
        <v>1.3549323572037788E-4</v>
      </c>
      <c r="D8">
        <v>135.49323572037787</v>
      </c>
      <c r="F8">
        <v>0.9477021095556144</v>
      </c>
      <c r="G8">
        <v>3.3411260810480381</v>
      </c>
      <c r="H8">
        <v>2.2990941207681395E-5</v>
      </c>
      <c r="I8">
        <v>22.990941207681395</v>
      </c>
      <c r="N8">
        <v>3.1635558367605187E-3</v>
      </c>
      <c r="O8">
        <f t="shared" si="0"/>
        <v>1.0008085532301546E-5</v>
      </c>
      <c r="Q8">
        <v>5.5445313447409363</v>
      </c>
      <c r="R8">
        <f t="shared" si="1"/>
        <v>30.741827832814735</v>
      </c>
      <c r="T8">
        <v>5.5381438278432471</v>
      </c>
      <c r="U8">
        <f t="shared" si="2"/>
        <v>30.671037057878252</v>
      </c>
    </row>
    <row r="9" spans="1:21" x14ac:dyDescent="0.3">
      <c r="A9">
        <v>2.1120160638175949</v>
      </c>
      <c r="B9">
        <v>11.503016336997852</v>
      </c>
      <c r="C9">
        <v>1.6231944282622617E-4</v>
      </c>
      <c r="D9">
        <v>162.31944282622618</v>
      </c>
      <c r="F9">
        <v>0.88743145994901251</v>
      </c>
      <c r="G9">
        <v>3.0022003261277979</v>
      </c>
      <c r="H9">
        <v>1.8562694810621313E-5</v>
      </c>
      <c r="I9">
        <v>18.562694810621313</v>
      </c>
      <c r="N9">
        <v>3.1635558367605187E-3</v>
      </c>
      <c r="O9">
        <f t="shared" si="0"/>
        <v>1.0008085532301546E-5</v>
      </c>
      <c r="Q9">
        <v>5.454274952748384</v>
      </c>
      <c r="R9">
        <f t="shared" si="1"/>
        <v>29.749115260178385</v>
      </c>
      <c r="T9">
        <v>5.4968903218429634</v>
      </c>
      <c r="U9">
        <f t="shared" si="2"/>
        <v>30.215803210370836</v>
      </c>
    </row>
    <row r="10" spans="1:21" x14ac:dyDescent="0.3">
      <c r="A10">
        <v>6.155987442196678</v>
      </c>
      <c r="B10">
        <v>18.746043617919344</v>
      </c>
      <c r="C10">
        <v>4.328615713466095E-4</v>
      </c>
      <c r="D10">
        <v>432.86157134660948</v>
      </c>
      <c r="F10">
        <v>3.4459666996207354</v>
      </c>
      <c r="G10">
        <v>6.8338951757539972</v>
      </c>
      <c r="H10">
        <v>9.6270676879445355E-5</v>
      </c>
      <c r="I10">
        <v>96.270676879445361</v>
      </c>
      <c r="N10">
        <v>3.0931023816888337E-3</v>
      </c>
      <c r="O10">
        <f t="shared" si="0"/>
        <v>9.5672823436091351E-6</v>
      </c>
      <c r="Q10">
        <v>4.8728605804317731</v>
      </c>
      <c r="R10">
        <f t="shared" si="1"/>
        <v>23.744770236325877</v>
      </c>
      <c r="T10">
        <v>4.9605426560594941</v>
      </c>
      <c r="U10">
        <f t="shared" si="2"/>
        <v>24.606983442585779</v>
      </c>
    </row>
    <row r="11" spans="1:21" x14ac:dyDescent="0.3">
      <c r="A11">
        <v>5.9126071520996168</v>
      </c>
      <c r="B11">
        <v>18.809161609898894</v>
      </c>
      <c r="C11">
        <v>4.3578752215963458E-4</v>
      </c>
      <c r="D11">
        <v>435.78752215963459</v>
      </c>
      <c r="F11">
        <v>3.5048098813016586</v>
      </c>
      <c r="G11">
        <v>7.8109286266625775</v>
      </c>
      <c r="H11">
        <v>1.2578384269788884E-4</v>
      </c>
      <c r="I11">
        <v>125.78384269788884</v>
      </c>
      <c r="N11">
        <v>3.0931023816888337E-3</v>
      </c>
      <c r="O11">
        <f t="shared" si="0"/>
        <v>9.5672823436091351E-6</v>
      </c>
      <c r="Q11">
        <v>4.9165602275494553</v>
      </c>
      <c r="R11">
        <f t="shared" si="1"/>
        <v>24.172564471121152</v>
      </c>
      <c r="T11">
        <v>5.0772398978610447</v>
      </c>
      <c r="U11">
        <f t="shared" si="2"/>
        <v>25.778364980432031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2025-02-03T05:59:02Z</dcterms:created>
  <dcterms:modified xsi:type="dcterms:W3CDTF">2025-02-09T14:27:03Z</dcterms:modified>
</cp:coreProperties>
</file>