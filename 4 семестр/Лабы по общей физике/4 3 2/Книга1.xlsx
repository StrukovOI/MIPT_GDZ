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4 семестр\4 3 2\"/>
    </mc:Choice>
  </mc:AlternateContent>
  <xr:revisionPtr revIDLastSave="0" documentId="13_ncr:1_{61073E1E-B417-45D8-9BBB-A9FCF467202B}" xr6:coauthVersionLast="47" xr6:coauthVersionMax="47" xr10:uidLastSave="{00000000-0000-0000-0000-000000000000}"/>
  <bookViews>
    <workbookView xWindow="-108" yWindow="-108" windowWidth="23256" windowHeight="13896" activeTab="1" xr2:uid="{EB84444B-B8D4-4861-A449-C5437689741A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2" i="2"/>
  <c r="K13" i="2"/>
  <c r="K14" i="2"/>
  <c r="K15" i="2"/>
  <c r="K16" i="2"/>
  <c r="K17" i="2"/>
  <c r="K18" i="2"/>
  <c r="K12" i="2"/>
  <c r="H13" i="2"/>
  <c r="H14" i="2"/>
  <c r="H15" i="2"/>
  <c r="H16" i="2"/>
  <c r="H17" i="2"/>
  <c r="H18" i="2"/>
  <c r="G13" i="2"/>
  <c r="G14" i="2"/>
  <c r="G15" i="2"/>
  <c r="G16" i="2"/>
  <c r="G17" i="2"/>
  <c r="G18" i="2"/>
  <c r="H12" i="2"/>
  <c r="G12" i="2"/>
  <c r="F17" i="2"/>
  <c r="F18" i="2"/>
  <c r="F16" i="2"/>
  <c r="F15" i="2"/>
  <c r="F14" i="2"/>
  <c r="F13" i="2"/>
  <c r="F12" i="2"/>
  <c r="L26" i="1"/>
  <c r="M26" i="1"/>
  <c r="N26" i="1"/>
  <c r="O26" i="1"/>
  <c r="F21" i="1"/>
  <c r="N20" i="1" s="1"/>
  <c r="N21" i="1" s="1"/>
  <c r="M21" i="1"/>
  <c r="L21" i="1"/>
  <c r="O20" i="1"/>
  <c r="O21" i="1" s="1"/>
  <c r="M20" i="1"/>
  <c r="L20" i="1"/>
  <c r="O16" i="1"/>
  <c r="O17" i="1"/>
  <c r="O18" i="1"/>
  <c r="N16" i="1"/>
  <c r="N17" i="1"/>
  <c r="N18" i="1"/>
  <c r="N19" i="1"/>
  <c r="N15" i="1"/>
  <c r="M16" i="1"/>
  <c r="M17" i="1"/>
  <c r="M18" i="1"/>
  <c r="M19" i="1"/>
  <c r="M15" i="1"/>
  <c r="L16" i="1"/>
  <c r="L17" i="1"/>
  <c r="L18" i="1"/>
  <c r="L19" i="1"/>
  <c r="L15" i="1"/>
  <c r="E21" i="1"/>
  <c r="G21" i="1"/>
  <c r="J8" i="1"/>
  <c r="J9" i="1" s="1"/>
  <c r="I8" i="1"/>
  <c r="H8" i="1"/>
  <c r="G8" i="1"/>
  <c r="F8" i="1"/>
  <c r="F9" i="1"/>
  <c r="G9" i="1"/>
  <c r="H9" i="1"/>
  <c r="I9" i="1"/>
  <c r="A6" i="1"/>
  <c r="A12" i="1" s="1"/>
</calcChain>
</file>

<file path=xl/sharedStrings.xml><?xml version="1.0" encoding="utf-8"?>
<sst xmlns="http://schemas.openxmlformats.org/spreadsheetml/2006/main" count="40" uniqueCount="34">
  <si>
    <t>F=28 см</t>
  </si>
  <si>
    <t>ц.д. лимба 10 мкм</t>
  </si>
  <si>
    <t>ширина 20 мкм</t>
  </si>
  <si>
    <t>Частота, МГц</t>
  </si>
  <si>
    <t>скорость</t>
  </si>
  <si>
    <t>расстояние между картинами, мкм</t>
  </si>
  <si>
    <t>ц.д.</t>
  </si>
  <si>
    <t>0,04 мм</t>
  </si>
  <si>
    <t>центр</t>
  </si>
  <si>
    <t>y, дел.(по 4 мкм)</t>
  </si>
  <si>
    <t>05     86</t>
  </si>
  <si>
    <t>1 клетка --  39*0,04 мм</t>
  </si>
  <si>
    <t>1,13892 МГц</t>
  </si>
  <si>
    <t>4 штуки</t>
  </si>
  <si>
    <t>1,2 -- 4,35</t>
  </si>
  <si>
    <t>1,75 -- 2,7</t>
  </si>
  <si>
    <t>2 штуки</t>
  </si>
  <si>
    <t>1,1--3,1</t>
  </si>
  <si>
    <t>5 штук</t>
  </si>
  <si>
    <t>1,2--2,8</t>
  </si>
  <si>
    <t>1,4--2,9</t>
  </si>
  <si>
    <t>1,35--2,6</t>
  </si>
  <si>
    <t>14 возникают аналогичные полоски, выраженные слабее</t>
  </si>
  <si>
    <t>0,7--2,55</t>
  </si>
  <si>
    <t>МГц</t>
  </si>
  <si>
    <t>к, мкм</t>
  </si>
  <si>
    <t>в</t>
  </si>
  <si>
    <t>в, м/с</t>
  </si>
  <si>
    <t>v, м/с</t>
  </si>
  <si>
    <t>k, мкм</t>
  </si>
  <si>
    <t>\nu, МГц</t>
  </si>
  <si>
    <t>Расстояние, дел.</t>
  </si>
  <si>
    <t>\Lambda, мм</t>
  </si>
  <si>
    <t>1/\nu, 1/МГц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</si>
</sst>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Лист1!$K$15:$K$19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Лист1!$L$15:$L$19</c:f>
              <c:numCache>
                <c:formatCode>General</c:formatCode>
                <c:ptCount val="5"/>
                <c:pt idx="0">
                  <c:v>-61</c:v>
                </c:pt>
                <c:pt idx="1">
                  <c:v>-30</c:v>
                </c:pt>
                <c:pt idx="2">
                  <c:v>4</c:v>
                </c:pt>
                <c:pt idx="3">
                  <c:v>35</c:v>
                </c:pt>
                <c:pt idx="4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FE-481D-A174-2BE7881053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Лист1!$K$15:$K$19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Лист1!$M$15:$M$19</c:f>
              <c:numCache>
                <c:formatCode>General</c:formatCode>
                <c:ptCount val="5"/>
                <c:pt idx="0">
                  <c:v>-72</c:v>
                </c:pt>
                <c:pt idx="1">
                  <c:v>-33</c:v>
                </c:pt>
                <c:pt idx="2">
                  <c:v>4</c:v>
                </c:pt>
                <c:pt idx="3">
                  <c:v>47</c:v>
                </c:pt>
                <c:pt idx="4">
                  <c:v>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FE-481D-A174-2BE7881053D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Лист1!$K$15:$K$19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Лист1!$N$15:$N$19</c:f>
              <c:numCache>
                <c:formatCode>General</c:formatCode>
                <c:ptCount val="5"/>
                <c:pt idx="0">
                  <c:v>-76</c:v>
                </c:pt>
                <c:pt idx="1">
                  <c:v>-41</c:v>
                </c:pt>
                <c:pt idx="2">
                  <c:v>4</c:v>
                </c:pt>
                <c:pt idx="3">
                  <c:v>47</c:v>
                </c:pt>
                <c:pt idx="4">
                  <c:v>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FE-481D-A174-2BE7881053D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Лист1!$K$15:$K$19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Лист1!$O$15:$O$19</c:f>
              <c:numCache>
                <c:formatCode>General</c:formatCode>
                <c:ptCount val="5"/>
                <c:pt idx="1">
                  <c:v>-60</c:v>
                </c:pt>
                <c:pt idx="2">
                  <c:v>4</c:v>
                </c:pt>
                <c:pt idx="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FE-481D-A174-2BE788105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127280"/>
        <c:axId val="965127760"/>
      </c:scatterChart>
      <c:valAx>
        <c:axId val="96512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5127760"/>
        <c:crosses val="autoZero"/>
        <c:crossBetween val="midCat"/>
      </c:valAx>
      <c:valAx>
        <c:axId val="9651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5127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Лист2!$E$12:$E$18</c:f>
              <c:numCache>
                <c:formatCode>General</c:formatCode>
                <c:ptCount val="7"/>
                <c:pt idx="0">
                  <c:v>1.1389199999999999</c:v>
                </c:pt>
                <c:pt idx="1">
                  <c:v>1.43696</c:v>
                </c:pt>
                <c:pt idx="2">
                  <c:v>1.4764200000000001</c:v>
                </c:pt>
                <c:pt idx="3">
                  <c:v>1.6290100000000001</c:v>
                </c:pt>
                <c:pt idx="4">
                  <c:v>1.6935100000000001</c:v>
                </c:pt>
                <c:pt idx="5">
                  <c:v>1.7772300000000001</c:v>
                </c:pt>
                <c:pt idx="6">
                  <c:v>2.0845600000000002</c:v>
                </c:pt>
              </c:numCache>
            </c:numRef>
          </c:xVal>
          <c:yVal>
            <c:numRef>
              <c:f>Лист2!$F$12:$F$18</c:f>
              <c:numCache>
                <c:formatCode>General</c:formatCode>
                <c:ptCount val="7"/>
                <c:pt idx="0">
                  <c:v>0.26874999999999999</c:v>
                </c:pt>
                <c:pt idx="1">
                  <c:v>0.23749999999999999</c:v>
                </c:pt>
                <c:pt idx="2">
                  <c:v>0.23125000000000001</c:v>
                </c:pt>
                <c:pt idx="3">
                  <c:v>0.20833333333333334</c:v>
                </c:pt>
                <c:pt idx="4">
                  <c:v>0.2</c:v>
                </c:pt>
                <c:pt idx="5">
                  <c:v>0.1875</c:v>
                </c:pt>
                <c:pt idx="6">
                  <c:v>0.16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9C-40CE-885A-506E3DA0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209135"/>
        <c:axId val="819205775"/>
      </c:scatterChart>
      <c:valAx>
        <c:axId val="81920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205775"/>
        <c:crosses val="autoZero"/>
        <c:crossBetween val="midCat"/>
      </c:valAx>
      <c:valAx>
        <c:axId val="81920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20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Лист2!$J$12:$J$18</c:f>
              <c:numCache>
                <c:formatCode>General</c:formatCode>
                <c:ptCount val="7"/>
                <c:pt idx="0">
                  <c:v>0.87802479542022271</c:v>
                </c:pt>
                <c:pt idx="1">
                  <c:v>0.69591359536799913</c:v>
                </c:pt>
                <c:pt idx="2">
                  <c:v>0.6773140434293764</c:v>
                </c:pt>
                <c:pt idx="3">
                  <c:v>0.61386977366621442</c:v>
                </c:pt>
                <c:pt idx="4">
                  <c:v>0.59048957490655496</c:v>
                </c:pt>
                <c:pt idx="5">
                  <c:v>0.56267337373328152</c:v>
                </c:pt>
                <c:pt idx="6">
                  <c:v>0.47971754231108721</c:v>
                </c:pt>
              </c:numCache>
            </c:numRef>
          </c:xVal>
          <c:yVal>
            <c:numRef>
              <c:f>Лист2!$K$12:$K$18</c:f>
              <c:numCache>
                <c:formatCode>General</c:formatCode>
                <c:ptCount val="7"/>
                <c:pt idx="0">
                  <c:v>1.3782051282051282</c:v>
                </c:pt>
                <c:pt idx="1">
                  <c:v>1.2179487179487178</c:v>
                </c:pt>
                <c:pt idx="2">
                  <c:v>1.1858974358974359</c:v>
                </c:pt>
                <c:pt idx="3">
                  <c:v>1.0683760683760686</c:v>
                </c:pt>
                <c:pt idx="4">
                  <c:v>1.0256410256410255</c:v>
                </c:pt>
                <c:pt idx="5">
                  <c:v>0.96153846153846156</c:v>
                </c:pt>
                <c:pt idx="6">
                  <c:v>0.8205128205128206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FA-4DF6-99F1-5E56ACC6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142640"/>
        <c:axId val="965143120"/>
      </c:scatterChart>
      <c:valAx>
        <c:axId val="96514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5143120"/>
        <c:crosses val="autoZero"/>
        <c:crossBetween val="midCat"/>
      </c:valAx>
      <c:valAx>
        <c:axId val="96514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514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480060</xdr:colOff>
      <xdr:row>0</xdr:row>
      <xdr:rowOff>152400</xdr:rowOff>
    </xdr:from>
    <xdr:to>
      <xdr:col>28</xdr:col>
      <xdr:colOff>38100</xdr:colOff>
      <xdr:row>26</xdr:row>
      <xdr:rowOff>83820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3E97B0F-A0E8-CECC-9310-EE0404266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434340</xdr:colOff>
      <xdr:row>7</xdr:row>
      <xdr:rowOff>102870</xdr:rowOff>
    </xdr:from>
    <xdr:to>
      <xdr:col>21</xdr:col>
      <xdr:colOff>129540</xdr:colOff>
      <xdr:row>22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328F67-C15C-A2A0-3D1C-46A1B58F4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518160</xdr:colOff>
      <xdr:row>19</xdr:row>
      <xdr:rowOff>34290</xdr:rowOff>
    </xdr:from>
    <xdr:to>
      <xdr:col>13</xdr:col>
      <xdr:colOff>213360</xdr:colOff>
      <xdr:row>34</xdr:row>
      <xdr:rowOff>34290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3FBBB26-7C61-521B-5C93-CD1CAF817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9E58-2A34-4D3A-B5AF-8A6BE3F49D03}">
  <dimension ref="A1:O27"/>
  <sheetViews>
    <sheetView topLeftCell="F2" workbookViewId="0">
      <selection activeCell="L26" sqref="L26:O2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E1" t="s">
        <v>24</v>
      </c>
      <c r="F1">
        <v>1.0322199999999999</v>
      </c>
      <c r="G1">
        <v>1.03294</v>
      </c>
      <c r="H1">
        <v>1.10137</v>
      </c>
      <c r="I1">
        <v>1.13429</v>
      </c>
      <c r="J1">
        <v>1.24512</v>
      </c>
      <c r="K1">
        <v>1.24837</v>
      </c>
    </row>
    <row r="2" spans="1:15" x14ac:dyDescent="0.3">
      <c r="A2" t="s">
        <v>2</v>
      </c>
      <c r="F2" t="s">
        <v>9</v>
      </c>
    </row>
    <row r="3" spans="1:15" x14ac:dyDescent="0.3">
      <c r="E3">
        <v>-2</v>
      </c>
      <c r="F3">
        <v>-70</v>
      </c>
      <c r="G3">
        <v>-67</v>
      </c>
      <c r="H3">
        <v>-72</v>
      </c>
      <c r="I3">
        <v>-77</v>
      </c>
      <c r="J3">
        <v>-82</v>
      </c>
      <c r="K3">
        <v>0</v>
      </c>
    </row>
    <row r="4" spans="1:15" x14ac:dyDescent="0.3">
      <c r="E4">
        <v>-1</v>
      </c>
      <c r="F4">
        <v>-40</v>
      </c>
      <c r="G4">
        <v>-38</v>
      </c>
      <c r="H4">
        <v>-37</v>
      </c>
      <c r="I4">
        <v>-42</v>
      </c>
      <c r="J4">
        <v>-51</v>
      </c>
      <c r="K4">
        <v>39</v>
      </c>
    </row>
    <row r="5" spans="1:15" x14ac:dyDescent="0.3">
      <c r="A5" t="s">
        <v>5</v>
      </c>
      <c r="D5" t="s">
        <v>8</v>
      </c>
      <c r="E5">
        <v>0</v>
      </c>
      <c r="F5">
        <v>4</v>
      </c>
      <c r="G5">
        <v>4</v>
      </c>
      <c r="H5">
        <v>5</v>
      </c>
      <c r="I5">
        <v>5</v>
      </c>
      <c r="J5">
        <v>5</v>
      </c>
      <c r="K5">
        <v>76</v>
      </c>
    </row>
    <row r="6" spans="1:15" x14ac:dyDescent="0.3">
      <c r="A6">
        <f>(19+3)*10</f>
        <v>220</v>
      </c>
      <c r="E6">
        <v>1</v>
      </c>
      <c r="F6">
        <v>76</v>
      </c>
      <c r="G6">
        <v>78</v>
      </c>
      <c r="H6">
        <v>75</v>
      </c>
      <c r="I6">
        <v>75</v>
      </c>
      <c r="J6">
        <v>72</v>
      </c>
      <c r="K6">
        <v>119</v>
      </c>
    </row>
    <row r="7" spans="1:15" x14ac:dyDescent="0.3">
      <c r="E7">
        <v>2</v>
      </c>
      <c r="F7">
        <v>145</v>
      </c>
      <c r="G7">
        <v>144</v>
      </c>
      <c r="H7">
        <v>143</v>
      </c>
      <c r="I7">
        <v>139</v>
      </c>
      <c r="J7">
        <v>135</v>
      </c>
      <c r="K7">
        <v>164</v>
      </c>
    </row>
    <row r="8" spans="1:15" x14ac:dyDescent="0.3">
      <c r="A8" t="s">
        <v>3</v>
      </c>
      <c r="E8" t="s">
        <v>25</v>
      </c>
      <c r="F8">
        <f>54.6*4</f>
        <v>218.4</v>
      </c>
      <c r="G8">
        <f>4*53.8</f>
        <v>215.2</v>
      </c>
      <c r="H8">
        <f>4*54.2</f>
        <v>216.8</v>
      </c>
      <c r="I8">
        <f>4*54.9</f>
        <v>219.6</v>
      </c>
      <c r="J8">
        <f>4*55.7</f>
        <v>222.8</v>
      </c>
    </row>
    <row r="9" spans="1:15" x14ac:dyDescent="0.3">
      <c r="A9">
        <v>1.03</v>
      </c>
      <c r="E9" t="s">
        <v>26</v>
      </c>
      <c r="F9">
        <f>6400*0.28/F8*F1*100</f>
        <v>846.94974358974355</v>
      </c>
      <c r="G9">
        <f t="shared" ref="G9:J9" si="0">6400*0.28/G8*G1*100</f>
        <v>860.14334572490725</v>
      </c>
      <c r="H9">
        <f t="shared" si="0"/>
        <v>910.35749077490777</v>
      </c>
      <c r="I9">
        <f t="shared" si="0"/>
        <v>925.61369763205835</v>
      </c>
      <c r="J9">
        <f t="shared" si="0"/>
        <v>1001.4609694793538</v>
      </c>
    </row>
    <row r="10" spans="1:15" x14ac:dyDescent="0.3">
      <c r="D10" t="s">
        <v>6</v>
      </c>
    </row>
    <row r="11" spans="1:15" x14ac:dyDescent="0.3">
      <c r="A11" t="s">
        <v>4</v>
      </c>
      <c r="D11" t="s">
        <v>7</v>
      </c>
    </row>
    <row r="12" spans="1:15" x14ac:dyDescent="0.3">
      <c r="A12">
        <f>A6*A9*2</f>
        <v>453.2</v>
      </c>
    </row>
    <row r="14" spans="1:15" x14ac:dyDescent="0.3">
      <c r="L14">
        <v>1.044</v>
      </c>
      <c r="M14">
        <v>1.24837</v>
      </c>
      <c r="N14">
        <v>1.504</v>
      </c>
      <c r="O14">
        <v>2.0139999999999998</v>
      </c>
    </row>
    <row r="15" spans="1:15" x14ac:dyDescent="0.3">
      <c r="E15">
        <v>1.044</v>
      </c>
      <c r="F15">
        <v>1.504</v>
      </c>
      <c r="G15">
        <v>2.0139999999999998</v>
      </c>
      <c r="K15">
        <v>-2</v>
      </c>
      <c r="L15">
        <f>E16+4</f>
        <v>-61</v>
      </c>
      <c r="M15">
        <f>K3-72</f>
        <v>-72</v>
      </c>
      <c r="N15">
        <f>F16+4</f>
        <v>-76</v>
      </c>
    </row>
    <row r="16" spans="1:15" x14ac:dyDescent="0.3">
      <c r="D16">
        <v>-2</v>
      </c>
      <c r="E16">
        <v>-65</v>
      </c>
      <c r="F16">
        <v>-80</v>
      </c>
      <c r="K16">
        <v>-1</v>
      </c>
      <c r="L16">
        <f t="shared" ref="L16:L19" si="1">E17+4</f>
        <v>-30</v>
      </c>
      <c r="M16">
        <f t="shared" ref="M16:M19" si="2">K4-72</f>
        <v>-33</v>
      </c>
      <c r="N16">
        <f t="shared" ref="N16:O19" si="3">F17+4</f>
        <v>-41</v>
      </c>
      <c r="O16">
        <f t="shared" si="3"/>
        <v>-60</v>
      </c>
    </row>
    <row r="17" spans="4:15" x14ac:dyDescent="0.3">
      <c r="D17">
        <v>-1</v>
      </c>
      <c r="E17">
        <v>-34</v>
      </c>
      <c r="F17">
        <v>-45</v>
      </c>
      <c r="G17">
        <v>-64</v>
      </c>
      <c r="K17">
        <v>0</v>
      </c>
      <c r="L17">
        <f t="shared" si="1"/>
        <v>4</v>
      </c>
      <c r="M17">
        <f t="shared" si="2"/>
        <v>4</v>
      </c>
      <c r="N17">
        <f t="shared" si="3"/>
        <v>4</v>
      </c>
      <c r="O17">
        <f t="shared" si="3"/>
        <v>4</v>
      </c>
    </row>
    <row r="18" spans="4:15" x14ac:dyDescent="0.3">
      <c r="D18">
        <v>0</v>
      </c>
      <c r="E18">
        <v>0</v>
      </c>
      <c r="F18">
        <v>0</v>
      </c>
      <c r="G18">
        <v>0</v>
      </c>
      <c r="K18">
        <v>1</v>
      </c>
      <c r="L18">
        <f t="shared" si="1"/>
        <v>35</v>
      </c>
      <c r="M18">
        <f t="shared" si="2"/>
        <v>47</v>
      </c>
      <c r="N18">
        <f t="shared" si="3"/>
        <v>47</v>
      </c>
      <c r="O18">
        <f t="shared" si="3"/>
        <v>75</v>
      </c>
    </row>
    <row r="19" spans="4:15" x14ac:dyDescent="0.3">
      <c r="D19">
        <v>1</v>
      </c>
      <c r="E19">
        <v>31</v>
      </c>
      <c r="F19">
        <v>43</v>
      </c>
      <c r="G19">
        <v>71</v>
      </c>
      <c r="K19">
        <v>2</v>
      </c>
      <c r="L19">
        <f t="shared" si="1"/>
        <v>73</v>
      </c>
      <c r="M19">
        <f t="shared" si="2"/>
        <v>92</v>
      </c>
      <c r="N19">
        <f t="shared" si="3"/>
        <v>89</v>
      </c>
    </row>
    <row r="20" spans="4:15" x14ac:dyDescent="0.3">
      <c r="D20">
        <v>2</v>
      </c>
      <c r="E20">
        <v>69</v>
      </c>
      <c r="F20">
        <v>85</v>
      </c>
      <c r="J20" t="s">
        <v>25</v>
      </c>
      <c r="L20">
        <f>E21</f>
        <v>132.4</v>
      </c>
      <c r="M20">
        <f>40.8*4</f>
        <v>163.19999999999999</v>
      </c>
      <c r="N20">
        <f>F21</f>
        <v>175.2</v>
      </c>
      <c r="O20">
        <f>67.5*4</f>
        <v>270</v>
      </c>
    </row>
    <row r="21" spans="4:15" x14ac:dyDescent="0.3">
      <c r="D21" t="s">
        <v>25</v>
      </c>
      <c r="E21">
        <f>33.1*4</f>
        <v>132.4</v>
      </c>
      <c r="F21">
        <f>43.8*4</f>
        <v>175.2</v>
      </c>
      <c r="G21">
        <f>68*4</f>
        <v>272</v>
      </c>
      <c r="J21" t="s">
        <v>27</v>
      </c>
      <c r="L21">
        <f>6400*L14*0.28/L20*100</f>
        <v>1413.0271903323264</v>
      </c>
      <c r="M21">
        <f t="shared" ref="M21:O21" si="4">6400*M14*0.28/M20*100</f>
        <v>1370.7592156862747</v>
      </c>
      <c r="N21">
        <f t="shared" si="4"/>
        <v>1538.3378995433795</v>
      </c>
      <c r="O21">
        <f t="shared" si="4"/>
        <v>1336.6992592592592</v>
      </c>
    </row>
    <row r="24" spans="4:15" x14ac:dyDescent="0.3">
      <c r="K24" t="s">
        <v>30</v>
      </c>
      <c r="L24">
        <v>1.044</v>
      </c>
      <c r="M24" s="3">
        <v>1.24837</v>
      </c>
      <c r="N24">
        <v>1.504</v>
      </c>
      <c r="O24">
        <v>2.0139999999999998</v>
      </c>
    </row>
    <row r="25" spans="4:15" x14ac:dyDescent="0.3">
      <c r="K25" t="s">
        <v>29</v>
      </c>
      <c r="L25">
        <v>132.4</v>
      </c>
      <c r="M25">
        <v>163.19999999999999</v>
      </c>
      <c r="N25">
        <v>175.2</v>
      </c>
      <c r="O25">
        <v>270</v>
      </c>
    </row>
    <row r="26" spans="4:15" x14ac:dyDescent="0.3">
      <c r="L26" s="3">
        <f>0.28/L25*6400/10</f>
        <v>1.3534743202416917</v>
      </c>
      <c r="M26" s="3">
        <f t="shared" ref="M26:O26" si="5">0.28/M25*6400/10</f>
        <v>1.0980392156862746</v>
      </c>
      <c r="N26" s="3">
        <f t="shared" si="5"/>
        <v>1.0228310502283107</v>
      </c>
      <c r="O26" s="3">
        <f t="shared" si="5"/>
        <v>0.66370370370370368</v>
      </c>
    </row>
    <row r="27" spans="4:15" x14ac:dyDescent="0.3">
      <c r="K27" t="s">
        <v>28</v>
      </c>
      <c r="L27" s="2">
        <v>1413.0271903323264</v>
      </c>
      <c r="M27" s="2">
        <v>1370.7592156862747</v>
      </c>
      <c r="N27" s="2">
        <v>1538.3378995433795</v>
      </c>
      <c r="O27" s="2">
        <v>1336.6992592592592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B9A7-26C7-4C96-8218-DFC7FBDCB5A4}">
  <dimension ref="A1:P18"/>
  <sheetViews>
    <sheetView tabSelected="1" workbookViewId="0">
      <selection activeCell="A7" sqref="A7"/>
    </sheetView>
  </sheetViews>
  <sheetFormatPr defaultRowHeight="14.4" x14ac:dyDescent="0.3"/>
  <sheetData>
    <row r="1" spans="1:16" x14ac:dyDescent="0.3">
      <c r="A1" s="1" t="s">
        <v>10</v>
      </c>
      <c r="D1" t="s">
        <v>12</v>
      </c>
      <c r="F1">
        <v>1.43696</v>
      </c>
      <c r="H1">
        <v>1.4764200000000001</v>
      </c>
      <c r="J1">
        <v>1.6935100000000001</v>
      </c>
      <c r="L1">
        <v>2.0845600000000002</v>
      </c>
      <c r="N1">
        <v>1.7772300000000001</v>
      </c>
      <c r="P1">
        <v>1.6290100000000001</v>
      </c>
    </row>
    <row r="2" spans="1:16" x14ac:dyDescent="0.3">
      <c r="D2" t="s">
        <v>14</v>
      </c>
      <c r="F2" t="s">
        <v>15</v>
      </c>
      <c r="H2" t="s">
        <v>23</v>
      </c>
      <c r="J2" t="s">
        <v>17</v>
      </c>
      <c r="L2" t="s">
        <v>19</v>
      </c>
      <c r="N2" t="s">
        <v>20</v>
      </c>
      <c r="P2" t="s">
        <v>21</v>
      </c>
    </row>
    <row r="3" spans="1:16" x14ac:dyDescent="0.3">
      <c r="A3" t="s">
        <v>11</v>
      </c>
      <c r="D3" t="s">
        <v>13</v>
      </c>
      <c r="F3" t="s">
        <v>16</v>
      </c>
      <c r="H3" t="s">
        <v>13</v>
      </c>
      <c r="J3" t="s">
        <v>18</v>
      </c>
      <c r="L3" t="s">
        <v>18</v>
      </c>
      <c r="N3">
        <v>4</v>
      </c>
      <c r="P3">
        <v>3</v>
      </c>
    </row>
    <row r="7" spans="1:16" x14ac:dyDescent="0.3">
      <c r="A7" t="s">
        <v>22</v>
      </c>
    </row>
    <row r="11" spans="1:16" x14ac:dyDescent="0.3">
      <c r="E11" t="s">
        <v>3</v>
      </c>
      <c r="F11" t="s">
        <v>31</v>
      </c>
      <c r="G11" t="s">
        <v>32</v>
      </c>
      <c r="J11" t="s">
        <v>33</v>
      </c>
      <c r="K11" t="s">
        <v>32</v>
      </c>
    </row>
    <row r="12" spans="1:16" x14ac:dyDescent="0.3">
      <c r="E12">
        <v>1.1389199999999999</v>
      </c>
      <c r="F12">
        <f>2.15/4/2</f>
        <v>0.26874999999999999</v>
      </c>
      <c r="G12">
        <f>2*F12/390*1000</f>
        <v>1.3782051282051282</v>
      </c>
      <c r="H12">
        <f>G12*1.13892*1000</f>
        <v>1569.6653846153845</v>
      </c>
      <c r="J12">
        <f>1/E12</f>
        <v>0.87802479542022271</v>
      </c>
      <c r="K12">
        <f>G12</f>
        <v>1.3782051282051282</v>
      </c>
    </row>
    <row r="13" spans="1:16" x14ac:dyDescent="0.3">
      <c r="E13">
        <v>1.43696</v>
      </c>
      <c r="F13">
        <f>0.95/4</f>
        <v>0.23749999999999999</v>
      </c>
      <c r="G13">
        <f t="shared" ref="G13:G18" si="0">2*F13/390*1000</f>
        <v>1.2179487179487178</v>
      </c>
      <c r="H13">
        <f t="shared" ref="H13:H18" si="1">G13*1.13892*1000</f>
        <v>1387.1461538461535</v>
      </c>
      <c r="J13">
        <f t="shared" ref="J13:J18" si="2">1/E13</f>
        <v>0.69591359536799913</v>
      </c>
      <c r="K13">
        <f t="shared" ref="K13:K18" si="3">G13</f>
        <v>1.2179487179487178</v>
      </c>
    </row>
    <row r="14" spans="1:16" x14ac:dyDescent="0.3">
      <c r="E14">
        <v>1.4764200000000001</v>
      </c>
      <c r="F14">
        <f>1.85/8</f>
        <v>0.23125000000000001</v>
      </c>
      <c r="G14">
        <f t="shared" si="0"/>
        <v>1.1858974358974359</v>
      </c>
      <c r="H14">
        <f t="shared" si="1"/>
        <v>1350.6423076923074</v>
      </c>
      <c r="J14">
        <f t="shared" si="2"/>
        <v>0.6773140434293764</v>
      </c>
      <c r="K14">
        <f t="shared" si="3"/>
        <v>1.1858974358974359</v>
      </c>
    </row>
    <row r="15" spans="1:16" x14ac:dyDescent="0.3">
      <c r="E15">
        <v>1.6290100000000001</v>
      </c>
      <c r="F15">
        <f>1.25/6</f>
        <v>0.20833333333333334</v>
      </c>
      <c r="G15">
        <f t="shared" si="0"/>
        <v>1.0683760683760686</v>
      </c>
      <c r="H15">
        <f t="shared" si="1"/>
        <v>1216.7948717948721</v>
      </c>
      <c r="J15">
        <f t="shared" si="2"/>
        <v>0.61386977366621442</v>
      </c>
      <c r="K15">
        <f t="shared" si="3"/>
        <v>1.0683760683760686</v>
      </c>
    </row>
    <row r="16" spans="1:16" x14ac:dyDescent="0.3">
      <c r="E16">
        <v>1.6935100000000001</v>
      </c>
      <c r="F16">
        <f>2/10</f>
        <v>0.2</v>
      </c>
      <c r="G16">
        <f t="shared" si="0"/>
        <v>1.0256410256410255</v>
      </c>
      <c r="H16">
        <f t="shared" si="1"/>
        <v>1168.1230769230767</v>
      </c>
      <c r="J16">
        <f t="shared" si="2"/>
        <v>0.59048957490655496</v>
      </c>
      <c r="K16">
        <f t="shared" si="3"/>
        <v>1.0256410256410255</v>
      </c>
    </row>
    <row r="17" spans="5:11" x14ac:dyDescent="0.3">
      <c r="E17">
        <v>1.7772300000000001</v>
      </c>
      <c r="F17">
        <f>1.5/8</f>
        <v>0.1875</v>
      </c>
      <c r="G17">
        <f t="shared" si="0"/>
        <v>0.96153846153846156</v>
      </c>
      <c r="H17">
        <f t="shared" si="1"/>
        <v>1095.1153846153845</v>
      </c>
      <c r="J17">
        <f t="shared" si="2"/>
        <v>0.56267337373328152</v>
      </c>
      <c r="K17">
        <f t="shared" si="3"/>
        <v>0.96153846153846156</v>
      </c>
    </row>
    <row r="18" spans="5:11" x14ac:dyDescent="0.3">
      <c r="E18">
        <v>2.0845600000000002</v>
      </c>
      <c r="F18">
        <f>1.6/10</f>
        <v>0.16</v>
      </c>
      <c r="G18">
        <f t="shared" si="0"/>
        <v>0.8205128205128206</v>
      </c>
      <c r="H18">
        <f t="shared" si="1"/>
        <v>934.49846153846158</v>
      </c>
      <c r="J18">
        <f t="shared" si="2"/>
        <v>0.47971754231108721</v>
      </c>
      <c r="K18">
        <f t="shared" si="3"/>
        <v>0.8205128205128206</v>
      </c>
    </row>
  </sheetData>
  <sortState xmlns:xlrd2="http://schemas.microsoft.com/office/spreadsheetml/2017/richdata2" ref="E12:F18">
    <sortCondition ref="E12:E1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2026-02-12T06:54:12Z</dcterms:created>
  <dcterms:modified xsi:type="dcterms:W3CDTF">2026-02-13T22:07:39Z</dcterms:modified>
</cp:coreProperties>
</file>