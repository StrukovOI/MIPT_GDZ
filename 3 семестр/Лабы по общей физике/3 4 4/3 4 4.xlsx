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4 4\"/>
    </mc:Choice>
  </mc:AlternateContent>
  <xr:revisionPtr revIDLastSave="0" documentId="13_ncr:1_{62450A6A-F89D-4A6A-BF87-ECA25EBF1925}" xr6:coauthVersionLast="47" xr6:coauthVersionMax="47" xr10:uidLastSave="{00000000-0000-0000-0000-000000000000}"/>
  <bookViews>
    <workbookView xWindow="11424" yWindow="0" windowWidth="11712" windowHeight="13776" firstSheet="5" activeTab="7" xr2:uid="{13C982AC-DA92-4919-8678-36B9E6EFA6FF}"/>
  </bookViews>
  <sheets>
    <sheet name="Лист1" sheetId="1" r:id="rId1"/>
    <sheet name="Лист2" sheetId="2" r:id="rId2"/>
    <sheet name="Лист3" sheetId="3" r:id="rId3"/>
    <sheet name="Графики" sheetId="4" r:id="rId4"/>
    <sheet name="Для латеха" sheetId="5" r:id="rId5"/>
    <sheet name="Лист4" sheetId="6" r:id="rId6"/>
    <sheet name="Лист5" sheetId="7" r:id="rId7"/>
    <sheet name="Лист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8" l="1"/>
  <c r="S25" i="8"/>
  <c r="R26" i="8"/>
  <c r="S26" i="8"/>
  <c r="R27" i="8"/>
  <c r="S27" i="8"/>
  <c r="R28" i="8"/>
  <c r="S28" i="8"/>
  <c r="R29" i="8"/>
  <c r="S29" i="8"/>
  <c r="R30" i="8"/>
  <c r="S30" i="8"/>
  <c r="R31" i="8"/>
  <c r="S31" i="8"/>
  <c r="R32" i="8"/>
  <c r="S32" i="8"/>
  <c r="R33" i="8"/>
  <c r="S33" i="8"/>
  <c r="R34" i="8"/>
  <c r="S34" i="8"/>
  <c r="R35" i="8"/>
  <c r="S35" i="8"/>
  <c r="R36" i="8"/>
  <c r="S36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1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1" i="8"/>
  <c r="D2" i="8"/>
  <c r="E2" i="8"/>
  <c r="D3" i="8"/>
  <c r="E3" i="8"/>
  <c r="G4" i="8" s="1"/>
  <c r="H12" i="8"/>
  <c r="H13" i="8"/>
  <c r="H4" i="8"/>
  <c r="H5" i="8"/>
  <c r="H6" i="8"/>
  <c r="H7" i="8"/>
  <c r="H8" i="8"/>
  <c r="H9" i="8"/>
  <c r="H10" i="8"/>
  <c r="H11" i="8"/>
  <c r="G3" i="8"/>
  <c r="G7" i="8"/>
  <c r="G8" i="8"/>
  <c r="G9" i="8"/>
  <c r="G10" i="8"/>
  <c r="G11" i="8"/>
  <c r="G12" i="8"/>
  <c r="G13" i="8"/>
  <c r="H2" i="8"/>
  <c r="G2" i="8"/>
  <c r="K38" i="7"/>
  <c r="K39" i="7"/>
  <c r="K40" i="7"/>
  <c r="K41" i="7"/>
  <c r="K42" i="7"/>
  <c r="K43" i="7"/>
  <c r="K44" i="7"/>
  <c r="K45" i="7"/>
  <c r="K46" i="7"/>
  <c r="K47" i="7"/>
  <c r="K48" i="7"/>
  <c r="K37" i="7"/>
  <c r="J38" i="7"/>
  <c r="J39" i="7"/>
  <c r="J40" i="7"/>
  <c r="J41" i="7"/>
  <c r="J42" i="7"/>
  <c r="J43" i="7"/>
  <c r="J44" i="7"/>
  <c r="J45" i="7"/>
  <c r="J46" i="7"/>
  <c r="J47" i="7"/>
  <c r="J48" i="7"/>
  <c r="J37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13" i="7"/>
  <c r="E26" i="7"/>
  <c r="E27" i="7"/>
  <c r="E28" i="7"/>
  <c r="E29" i="7"/>
  <c r="E30" i="7"/>
  <c r="E31" i="7"/>
  <c r="E32" i="7"/>
  <c r="E33" i="7"/>
  <c r="E34" i="7"/>
  <c r="E35" i="7"/>
  <c r="E36" i="7"/>
  <c r="E25" i="7"/>
  <c r="D26" i="7"/>
  <c r="D27" i="7"/>
  <c r="D28" i="7"/>
  <c r="D29" i="7"/>
  <c r="D30" i="7"/>
  <c r="D31" i="7"/>
  <c r="D32" i="7"/>
  <c r="D33" i="7"/>
  <c r="D34" i="7"/>
  <c r="D35" i="7"/>
  <c r="D36" i="7"/>
  <c r="D25" i="7"/>
  <c r="B25" i="7"/>
  <c r="B26" i="7"/>
  <c r="B27" i="7"/>
  <c r="B28" i="7"/>
  <c r="B29" i="7"/>
  <c r="B30" i="7"/>
  <c r="B31" i="7"/>
  <c r="B32" i="7"/>
  <c r="B33" i="7"/>
  <c r="B34" i="7"/>
  <c r="B35" i="7"/>
  <c r="B36" i="7"/>
  <c r="A35" i="7"/>
  <c r="A36" i="7"/>
  <c r="A33" i="7"/>
  <c r="A34" i="7"/>
  <c r="A26" i="7"/>
  <c r="A27" i="7"/>
  <c r="A28" i="7"/>
  <c r="A29" i="7"/>
  <c r="A30" i="7"/>
  <c r="A31" i="7"/>
  <c r="A32" i="7"/>
  <c r="A25" i="7"/>
  <c r="E52" i="6"/>
  <c r="E53" i="6"/>
  <c r="E54" i="6"/>
  <c r="E55" i="6"/>
  <c r="E56" i="6"/>
  <c r="E57" i="6"/>
  <c r="E58" i="6"/>
  <c r="E59" i="6"/>
  <c r="E60" i="6"/>
  <c r="E61" i="6"/>
  <c r="E50" i="6"/>
  <c r="E51" i="6"/>
  <c r="D52" i="6"/>
  <c r="D53" i="6"/>
  <c r="D54" i="6"/>
  <c r="D55" i="6"/>
  <c r="D56" i="6"/>
  <c r="D57" i="6"/>
  <c r="D58" i="6"/>
  <c r="D59" i="6"/>
  <c r="D60" i="6"/>
  <c r="D61" i="6"/>
  <c r="D51" i="6"/>
  <c r="D50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26" i="6"/>
  <c r="E40" i="6"/>
  <c r="E41" i="6"/>
  <c r="E42" i="6"/>
  <c r="E43" i="6"/>
  <c r="E44" i="6"/>
  <c r="E45" i="6"/>
  <c r="E46" i="6"/>
  <c r="E47" i="6"/>
  <c r="E48" i="6"/>
  <c r="E49" i="6"/>
  <c r="E39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" i="6"/>
  <c r="S39" i="4"/>
  <c r="R41" i="4"/>
  <c r="R42" i="4"/>
  <c r="R43" i="4"/>
  <c r="R44" i="4"/>
  <c r="R45" i="4"/>
  <c r="R46" i="4"/>
  <c r="R47" i="4"/>
  <c r="R48" i="4"/>
  <c r="R49" i="4"/>
  <c r="R50" i="4"/>
  <c r="R39" i="4"/>
  <c r="G39" i="4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L40" i="4"/>
  <c r="L41" i="4"/>
  <c r="L42" i="4"/>
  <c r="L43" i="4"/>
  <c r="L44" i="4"/>
  <c r="L45" i="4"/>
  <c r="L46" i="4"/>
  <c r="L47" i="4"/>
  <c r="L48" i="4"/>
  <c r="L49" i="4"/>
  <c r="L50" i="4"/>
  <c r="L39" i="4"/>
  <c r="S40" i="4"/>
  <c r="S41" i="4" s="1"/>
  <c r="H16" i="5"/>
  <c r="H17" i="5"/>
  <c r="H18" i="5"/>
  <c r="H19" i="5"/>
  <c r="H20" i="5"/>
  <c r="H21" i="5"/>
  <c r="H22" i="5"/>
  <c r="H23" i="5"/>
  <c r="H24" i="5"/>
  <c r="H25" i="5"/>
  <c r="H26" i="5"/>
  <c r="H15" i="5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6" i="5"/>
  <c r="I17" i="5"/>
  <c r="I18" i="5"/>
  <c r="I19" i="5"/>
  <c r="I20" i="5"/>
  <c r="I21" i="5"/>
  <c r="I22" i="5"/>
  <c r="I23" i="5"/>
  <c r="I24" i="5"/>
  <c r="I25" i="5"/>
  <c r="I26" i="5"/>
  <c r="I15" i="5"/>
  <c r="T5" i="5"/>
  <c r="T6" i="5" s="1"/>
  <c r="T7" i="5" s="1"/>
  <c r="T8" i="5" s="1"/>
  <c r="T9" i="5" s="1"/>
  <c r="T10" i="5" s="1"/>
  <c r="T11" i="5" s="1"/>
  <c r="T12" i="5" s="1"/>
  <c r="T13" i="5" s="1"/>
  <c r="T14" i="5" s="1"/>
  <c r="T4" i="5"/>
  <c r="H3" i="5"/>
  <c r="H4" i="5"/>
  <c r="H5" i="5"/>
  <c r="H6" i="5"/>
  <c r="H7" i="5"/>
  <c r="H8" i="5"/>
  <c r="H9" i="5"/>
  <c r="H10" i="5"/>
  <c r="H11" i="5"/>
  <c r="H12" i="5"/>
  <c r="H13" i="5"/>
  <c r="H14" i="5"/>
  <c r="T3" i="5"/>
  <c r="O14" i="5"/>
  <c r="P14" i="5" s="1"/>
  <c r="N14" i="5"/>
  <c r="O13" i="5"/>
  <c r="P13" i="5" s="1"/>
  <c r="N13" i="5"/>
  <c r="O12" i="5"/>
  <c r="P12" i="5" s="1"/>
  <c r="N12" i="5"/>
  <c r="O11" i="5"/>
  <c r="P11" i="5" s="1"/>
  <c r="N11" i="5"/>
  <c r="O10" i="5"/>
  <c r="P10" i="5" s="1"/>
  <c r="N10" i="5"/>
  <c r="P9" i="5"/>
  <c r="O9" i="5"/>
  <c r="N9" i="5"/>
  <c r="O8" i="5"/>
  <c r="P8" i="5" s="1"/>
  <c r="N8" i="5"/>
  <c r="O7" i="5"/>
  <c r="P7" i="5" s="1"/>
  <c r="N7" i="5"/>
  <c r="O6" i="5"/>
  <c r="P6" i="5" s="1"/>
  <c r="N6" i="5"/>
  <c r="O5" i="5"/>
  <c r="P5" i="5" s="1"/>
  <c r="N5" i="5"/>
  <c r="O4" i="5"/>
  <c r="P4" i="5" s="1"/>
  <c r="N4" i="5"/>
  <c r="O3" i="5"/>
  <c r="N3" i="5"/>
  <c r="I3" i="5"/>
  <c r="D14" i="5"/>
  <c r="E14" i="5" s="1"/>
  <c r="C14" i="5"/>
  <c r="D13" i="5"/>
  <c r="E13" i="5" s="1"/>
  <c r="C13" i="5"/>
  <c r="D12" i="5"/>
  <c r="E12" i="5" s="1"/>
  <c r="C12" i="5"/>
  <c r="D11" i="5"/>
  <c r="E11" i="5" s="1"/>
  <c r="C11" i="5"/>
  <c r="D10" i="5"/>
  <c r="E10" i="5" s="1"/>
  <c r="C10" i="5"/>
  <c r="E9" i="5"/>
  <c r="D9" i="5"/>
  <c r="C9" i="5"/>
  <c r="D8" i="5"/>
  <c r="E8" i="5" s="1"/>
  <c r="C8" i="5"/>
  <c r="D7" i="5"/>
  <c r="E7" i="5" s="1"/>
  <c r="C7" i="5"/>
  <c r="D6" i="5"/>
  <c r="E6" i="5" s="1"/>
  <c r="C6" i="5"/>
  <c r="D5" i="5"/>
  <c r="E5" i="5" s="1"/>
  <c r="C5" i="5"/>
  <c r="D4" i="5"/>
  <c r="E4" i="5" s="1"/>
  <c r="A4" i="5"/>
  <c r="C4" i="5" s="1"/>
  <c r="D3" i="5"/>
  <c r="A3" i="5"/>
  <c r="C3" i="5" s="1"/>
  <c r="U4" i="3"/>
  <c r="U5" i="3"/>
  <c r="U6" i="3"/>
  <c r="U7" i="3"/>
  <c r="U8" i="3"/>
  <c r="U9" i="3"/>
  <c r="U10" i="3"/>
  <c r="U11" i="3"/>
  <c r="U12" i="3"/>
  <c r="U13" i="3"/>
  <c r="U3" i="3"/>
  <c r="U2" i="3"/>
  <c r="Q2" i="3"/>
  <c r="Q4" i="3"/>
  <c r="Q5" i="3"/>
  <c r="Q6" i="3"/>
  <c r="Q7" i="3"/>
  <c r="Q8" i="3"/>
  <c r="Q9" i="3"/>
  <c r="Q10" i="3"/>
  <c r="Q11" i="3"/>
  <c r="Q12" i="3"/>
  <c r="Q13" i="3"/>
  <c r="Q3" i="3"/>
  <c r="K4" i="3"/>
  <c r="L3" i="3"/>
  <c r="P3" i="3"/>
  <c r="P4" i="3"/>
  <c r="P5" i="3"/>
  <c r="P6" i="3"/>
  <c r="P7" i="3"/>
  <c r="P8" i="3"/>
  <c r="P9" i="3"/>
  <c r="P10" i="3"/>
  <c r="P11" i="3"/>
  <c r="P12" i="3"/>
  <c r="P13" i="3"/>
  <c r="P2" i="3"/>
  <c r="L4" i="3"/>
  <c r="L5" i="3"/>
  <c r="L6" i="3"/>
  <c r="L7" i="3"/>
  <c r="L8" i="3"/>
  <c r="L9" i="3"/>
  <c r="L10" i="3"/>
  <c r="L11" i="3"/>
  <c r="L12" i="3"/>
  <c r="L13" i="3"/>
  <c r="L2" i="3"/>
  <c r="K2" i="3"/>
  <c r="K3" i="3"/>
  <c r="K13" i="3"/>
  <c r="K12" i="3"/>
  <c r="K11" i="3"/>
  <c r="K10" i="3"/>
  <c r="K9" i="3"/>
  <c r="K8" i="3"/>
  <c r="K7" i="3"/>
  <c r="K6" i="3"/>
  <c r="K5" i="3"/>
  <c r="J13" i="3"/>
  <c r="J12" i="3"/>
  <c r="J11" i="3"/>
  <c r="J10" i="3"/>
  <c r="J9" i="3"/>
  <c r="J8" i="3"/>
  <c r="J7" i="3"/>
  <c r="J6" i="3"/>
  <c r="J5" i="3"/>
  <c r="J4" i="3"/>
  <c r="J3" i="3"/>
  <c r="J2" i="3"/>
  <c r="X40" i="4"/>
  <c r="X41" i="4"/>
  <c r="X42" i="4"/>
  <c r="X43" i="4"/>
  <c r="X44" i="4"/>
  <c r="X45" i="4"/>
  <c r="X46" i="4"/>
  <c r="X47" i="4"/>
  <c r="X48" i="4"/>
  <c r="X49" i="4"/>
  <c r="X50" i="4"/>
  <c r="Y39" i="4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X39" i="4"/>
  <c r="U3" i="4"/>
  <c r="U4" i="4"/>
  <c r="U5" i="4"/>
  <c r="U6" i="4"/>
  <c r="U7" i="4"/>
  <c r="U8" i="4"/>
  <c r="U9" i="4"/>
  <c r="U10" i="4"/>
  <c r="U11" i="4"/>
  <c r="U12" i="4"/>
  <c r="U13" i="4"/>
  <c r="U2" i="4"/>
  <c r="P40" i="4"/>
  <c r="R40" i="4" s="1"/>
  <c r="P39" i="4"/>
  <c r="L3" i="4"/>
  <c r="L4" i="4"/>
  <c r="L5" i="4"/>
  <c r="L6" i="4"/>
  <c r="L7" i="4"/>
  <c r="L8" i="4"/>
  <c r="L9" i="4"/>
  <c r="L10" i="4"/>
  <c r="L11" i="4"/>
  <c r="L12" i="4"/>
  <c r="L13" i="4"/>
  <c r="L2" i="4"/>
  <c r="M39" i="4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F41" i="4"/>
  <c r="F42" i="4"/>
  <c r="F43" i="4"/>
  <c r="F44" i="4"/>
  <c r="F45" i="4"/>
  <c r="F46" i="4"/>
  <c r="F47" i="4"/>
  <c r="F48" i="4"/>
  <c r="F49" i="4"/>
  <c r="F50" i="4"/>
  <c r="D40" i="4"/>
  <c r="F40" i="4" s="1"/>
  <c r="D39" i="4"/>
  <c r="F39" i="4" s="1"/>
  <c r="E3" i="3"/>
  <c r="E4" i="3"/>
  <c r="E5" i="3"/>
  <c r="E6" i="3"/>
  <c r="E7" i="3"/>
  <c r="E8" i="3"/>
  <c r="E9" i="3"/>
  <c r="E10" i="3"/>
  <c r="E11" i="3"/>
  <c r="E12" i="3"/>
  <c r="E13" i="3"/>
  <c r="E2" i="3"/>
  <c r="P3" i="4"/>
  <c r="P4" i="4"/>
  <c r="P5" i="4"/>
  <c r="P6" i="4"/>
  <c r="P7" i="4"/>
  <c r="P8" i="4"/>
  <c r="P9" i="4"/>
  <c r="P10" i="4"/>
  <c r="P11" i="4"/>
  <c r="P12" i="4"/>
  <c r="P13" i="4"/>
  <c r="P2" i="4"/>
  <c r="G3" i="4"/>
  <c r="G2" i="4"/>
  <c r="F12" i="4"/>
  <c r="F13" i="4"/>
  <c r="F11" i="4"/>
  <c r="F10" i="4"/>
  <c r="F9" i="4"/>
  <c r="F8" i="4"/>
  <c r="F7" i="4"/>
  <c r="F6" i="4"/>
  <c r="F5" i="4"/>
  <c r="F4" i="4"/>
  <c r="F3" i="4"/>
  <c r="D3" i="4"/>
  <c r="F2" i="4"/>
  <c r="D2" i="4"/>
  <c r="A5" i="2"/>
  <c r="K3" i="1"/>
  <c r="K4" i="1"/>
  <c r="K5" i="1"/>
  <c r="K6" i="1"/>
  <c r="K7" i="1"/>
  <c r="K8" i="1"/>
  <c r="K9" i="1"/>
  <c r="K10" i="1"/>
  <c r="K11" i="1"/>
  <c r="K12" i="1"/>
  <c r="K13" i="1"/>
  <c r="K2" i="1"/>
  <c r="F3" i="1"/>
  <c r="F4" i="1"/>
  <c r="F5" i="1"/>
  <c r="F6" i="1"/>
  <c r="F7" i="1"/>
  <c r="F8" i="1"/>
  <c r="F9" i="1"/>
  <c r="F10" i="1"/>
  <c r="F11" i="1"/>
  <c r="F12" i="1"/>
  <c r="F13" i="1"/>
  <c r="F2" i="1"/>
  <c r="D3" i="1"/>
  <c r="D2" i="1"/>
  <c r="H3" i="8" l="1"/>
  <c r="G5" i="8"/>
  <c r="G6" i="8"/>
  <c r="S42" i="4"/>
  <c r="T42" i="4" s="1"/>
  <c r="T41" i="4"/>
  <c r="T40" i="4"/>
  <c r="Z41" i="4"/>
  <c r="Z40" i="4"/>
  <c r="Z42" i="4"/>
  <c r="S43" i="4" l="1"/>
  <c r="T43" i="4" s="1"/>
  <c r="Z43" i="4"/>
  <c r="S44" i="4" l="1"/>
  <c r="T44" i="4" s="1"/>
  <c r="Z44" i="4"/>
  <c r="S45" i="4" l="1"/>
  <c r="Z45" i="4"/>
  <c r="S46" i="4"/>
  <c r="T45" i="4"/>
  <c r="Z46" i="4" l="1"/>
  <c r="S47" i="4"/>
  <c r="T46" i="4"/>
  <c r="Z47" i="4" l="1"/>
  <c r="S48" i="4"/>
  <c r="T47" i="4"/>
  <c r="Z48" i="4" l="1"/>
  <c r="S49" i="4"/>
  <c r="T48" i="4"/>
  <c r="Z49" i="4" l="1"/>
  <c r="Z50" i="4"/>
  <c r="T49" i="4"/>
  <c r="S50" i="4"/>
  <c r="T50" i="4" s="1"/>
</calcChain>
</file>

<file path=xl/sharedStrings.xml><?xml version="1.0" encoding="utf-8"?>
<sst xmlns="http://schemas.openxmlformats.org/spreadsheetml/2006/main" count="70" uniqueCount="24">
  <si>
    <t>макс ток</t>
  </si>
  <si>
    <t>1,4563 А</t>
  </si>
  <si>
    <t>I</t>
  </si>
  <si>
    <t>x</t>
  </si>
  <si>
    <t>I, mA</t>
  </si>
  <si>
    <t>X</t>
  </si>
  <si>
    <t>Imax</t>
  </si>
  <si>
    <t>1,4565 A</t>
  </si>
  <si>
    <t>delta X_c</t>
  </si>
  <si>
    <t>\delta x</t>
  </si>
  <si>
    <t>\Delta x</t>
  </si>
  <si>
    <t>H, А/м</t>
  </si>
  <si>
    <t>\Delta B, Tl</t>
  </si>
  <si>
    <t>Уменьшение</t>
  </si>
  <si>
    <t>Возрастание</t>
  </si>
  <si>
    <t>погр. В</t>
  </si>
  <si>
    <t>dX/2</t>
  </si>
  <si>
    <t>В</t>
  </si>
  <si>
    <t>B, Тл</t>
  </si>
  <si>
    <t>Эксперимент</t>
  </si>
  <si>
    <t>Справочное значение</t>
  </si>
  <si>
    <t>H_C</t>
  </si>
  <si>
    <t>B_S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</si>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</sst>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sz val="8"/>
      <color rgb="FFF9FAFB"/>
      <name val="Cascadia Mono"/>
      <family val="3"/>
      <charset val="204"/>
    </font>
    <font>
      <sz val="10"/>
      <color rgb="FFF9FAFB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Лист3!$T$2:$T$13</c:f>
              <c:numCache>
                <c:formatCode>General</c:formatCode>
                <c:ptCount val="12"/>
                <c:pt idx="0">
                  <c:v>0</c:v>
                </c:pt>
                <c:pt idx="1">
                  <c:v>85.229985675632662</c:v>
                </c:pt>
                <c:pt idx="2">
                  <c:v>156.5335031036129</c:v>
                </c:pt>
                <c:pt idx="3">
                  <c:v>217.80996339328348</c:v>
                </c:pt>
                <c:pt idx="4">
                  <c:v>247.8911348082126</c:v>
                </c:pt>
                <c:pt idx="5">
                  <c:v>311.39583001750754</c:v>
                </c:pt>
                <c:pt idx="6">
                  <c:v>371.55817284736588</c:v>
                </c:pt>
                <c:pt idx="7">
                  <c:v>528.6487346808849</c:v>
                </c:pt>
                <c:pt idx="8">
                  <c:v>875.69632341238241</c:v>
                </c:pt>
                <c:pt idx="9">
                  <c:v>1394.875059684864</c:v>
                </c:pt>
                <c:pt idx="10">
                  <c:v>2862.7248129874265</c:v>
                </c:pt>
                <c:pt idx="11">
                  <c:v>8119.6880471112518</c:v>
                </c:pt>
              </c:numCache>
            </c:numRef>
          </c:xVal>
          <c:yVal>
            <c:numRef>
              <c:f>Лист3!$U$2:$U$13</c:f>
              <c:numCache>
                <c:formatCode>0.0000</c:formatCode>
                <c:ptCount val="12"/>
                <c:pt idx="0">
                  <c:v>0</c:v>
                </c:pt>
                <c:pt idx="1">
                  <c:v>3.4608095899548386E-2</c:v>
                </c:pt>
                <c:pt idx="2">
                  <c:v>0.10815029968608869</c:v>
                </c:pt>
                <c:pt idx="3">
                  <c:v>0.29849482713360481</c:v>
                </c:pt>
                <c:pt idx="4">
                  <c:v>0.39366709085736284</c:v>
                </c:pt>
                <c:pt idx="5">
                  <c:v>0.58833763029232256</c:v>
                </c:pt>
                <c:pt idx="6">
                  <c:v>0.70513995395329832</c:v>
                </c:pt>
                <c:pt idx="7">
                  <c:v>0.9690266851873548</c:v>
                </c:pt>
                <c:pt idx="8">
                  <c:v>1.2761735362958466</c:v>
                </c:pt>
                <c:pt idx="9">
                  <c:v>1.5357342555424593</c:v>
                </c:pt>
                <c:pt idx="10">
                  <c:v>1.8774892025504997</c:v>
                </c:pt>
                <c:pt idx="11">
                  <c:v>2.1846360536589917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22-49A2-8A24-796DB1D67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89664"/>
        <c:axId val="1936390624"/>
      </c:scatterChart>
      <c:valAx>
        <c:axId val="19363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390624"/>
        <c:crosses val="autoZero"/>
        <c:crossBetween val="midCat"/>
      </c:valAx>
      <c:valAx>
        <c:axId val="19363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3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Графики!$F$15:$F$62</c:f>
              <c:numCache>
                <c:formatCode>General</c:formatCode>
                <c:ptCount val="48"/>
                <c:pt idx="0">
                  <c:v>-8121.3592233009695</c:v>
                </c:pt>
                <c:pt idx="1">
                  <c:v>-2863.2818717173323</c:v>
                </c:pt>
                <c:pt idx="2">
                  <c:v>-1395.0421773038356</c:v>
                </c:pt>
                <c:pt idx="3">
                  <c:v>-875.91914690434498</c:v>
                </c:pt>
                <c:pt idx="4">
                  <c:v>-529.31720515677216</c:v>
                </c:pt>
                <c:pt idx="5">
                  <c:v>-372.00381983129074</c:v>
                </c:pt>
                <c:pt idx="6">
                  <c:v>-311.84147700143239</c:v>
                </c:pt>
                <c:pt idx="7">
                  <c:v>-247.8911348082126</c:v>
                </c:pt>
                <c:pt idx="8">
                  <c:v>-217.80996339328348</c:v>
                </c:pt>
                <c:pt idx="9">
                  <c:v>-156.5335031036129</c:v>
                </c:pt>
                <c:pt idx="10">
                  <c:v>-85.787044405538737</c:v>
                </c:pt>
                <c:pt idx="11">
                  <c:v>0</c:v>
                </c:pt>
                <c:pt idx="12">
                  <c:v>0</c:v>
                </c:pt>
                <c:pt idx="13">
                  <c:v>85.787044405538737</c:v>
                </c:pt>
                <c:pt idx="14">
                  <c:v>156.5335031036129</c:v>
                </c:pt>
                <c:pt idx="15">
                  <c:v>217.80996339328348</c:v>
                </c:pt>
                <c:pt idx="16">
                  <c:v>247.83542893522201</c:v>
                </c:pt>
                <c:pt idx="17">
                  <c:v>311.39583001750754</c:v>
                </c:pt>
                <c:pt idx="18">
                  <c:v>371.55817284736588</c:v>
                </c:pt>
                <c:pt idx="19">
                  <c:v>528.6487346808849</c:v>
                </c:pt>
                <c:pt idx="20">
                  <c:v>875.13926468247632</c:v>
                </c:pt>
                <c:pt idx="21">
                  <c:v>1394.3180009549578</c:v>
                </c:pt>
                <c:pt idx="22">
                  <c:v>2861.6106955276141</c:v>
                </c:pt>
                <c:pt idx="23">
                  <c:v>8119.6880471112518</c:v>
                </c:pt>
                <c:pt idx="24">
                  <c:v>8121.3592233009695</c:v>
                </c:pt>
                <c:pt idx="25">
                  <c:v>2863.2818717173323</c:v>
                </c:pt>
                <c:pt idx="26">
                  <c:v>1395.0421773038356</c:v>
                </c:pt>
                <c:pt idx="27">
                  <c:v>875.91914690434498</c:v>
                </c:pt>
                <c:pt idx="28">
                  <c:v>529.31720515677216</c:v>
                </c:pt>
                <c:pt idx="29">
                  <c:v>372.00381983129074</c:v>
                </c:pt>
                <c:pt idx="30">
                  <c:v>311.84147700143239</c:v>
                </c:pt>
                <c:pt idx="31">
                  <c:v>247.8911348082126</c:v>
                </c:pt>
                <c:pt idx="32">
                  <c:v>217.80996339328348</c:v>
                </c:pt>
                <c:pt idx="33">
                  <c:v>156.5335031036129</c:v>
                </c:pt>
                <c:pt idx="34">
                  <c:v>85.787044405538737</c:v>
                </c:pt>
                <c:pt idx="35">
                  <c:v>0</c:v>
                </c:pt>
                <c:pt idx="36">
                  <c:v>0</c:v>
                </c:pt>
                <c:pt idx="37">
                  <c:v>-85.787044405538737</c:v>
                </c:pt>
                <c:pt idx="38">
                  <c:v>-156.5335031036129</c:v>
                </c:pt>
                <c:pt idx="39">
                  <c:v>-217.80996339328348</c:v>
                </c:pt>
                <c:pt idx="40">
                  <c:v>-247.83542893522201</c:v>
                </c:pt>
                <c:pt idx="41">
                  <c:v>-311.39583001750754</c:v>
                </c:pt>
                <c:pt idx="42">
                  <c:v>-371.55817284736588</c:v>
                </c:pt>
                <c:pt idx="43">
                  <c:v>-528.6487346808849</c:v>
                </c:pt>
                <c:pt idx="44">
                  <c:v>-875.13926468247632</c:v>
                </c:pt>
                <c:pt idx="45">
                  <c:v>-1394.3180009549578</c:v>
                </c:pt>
                <c:pt idx="46">
                  <c:v>-2861.6106955276141</c:v>
                </c:pt>
                <c:pt idx="47">
                  <c:v>-8119.6880471112518</c:v>
                </c:pt>
              </c:numCache>
            </c:numRef>
          </c:xVal>
          <c:yVal>
            <c:numRef>
              <c:f>Графики!$G$15:$G$62</c:f>
              <c:numCache>
                <c:formatCode>General</c:formatCode>
                <c:ptCount val="48"/>
                <c:pt idx="0">
                  <c:v>-0.994982757112016</c:v>
                </c:pt>
                <c:pt idx="1">
                  <c:v>-0.7527260858151773</c:v>
                </c:pt>
                <c:pt idx="2">
                  <c:v>-0.51479542650578214</c:v>
                </c:pt>
                <c:pt idx="3">
                  <c:v>-0.36771101893270153</c:v>
                </c:pt>
                <c:pt idx="4">
                  <c:v>-0.25956071924661284</c:v>
                </c:pt>
                <c:pt idx="5">
                  <c:v>-0.19899655142240316</c:v>
                </c:pt>
                <c:pt idx="6">
                  <c:v>-0.16871446751029834</c:v>
                </c:pt>
                <c:pt idx="7">
                  <c:v>-0.14275839558563705</c:v>
                </c:pt>
                <c:pt idx="8">
                  <c:v>-0.12112833564841931</c:v>
                </c:pt>
                <c:pt idx="9">
                  <c:v>-9.5172263723758019E-2</c:v>
                </c:pt>
                <c:pt idx="10">
                  <c:v>-6.4890179811653181E-2</c:v>
                </c:pt>
                <c:pt idx="11">
                  <c:v>0</c:v>
                </c:pt>
                <c:pt idx="12">
                  <c:v>0</c:v>
                </c:pt>
                <c:pt idx="13">
                  <c:v>1.2978035962330646E-2</c:v>
                </c:pt>
                <c:pt idx="14">
                  <c:v>2.5956071924661293E-2</c:v>
                </c:pt>
                <c:pt idx="15">
                  <c:v>3.8934107886991941E-2</c:v>
                </c:pt>
                <c:pt idx="16">
                  <c:v>4.7586131861879037E-2</c:v>
                </c:pt>
                <c:pt idx="17">
                  <c:v>6.4890179811653237E-2</c:v>
                </c:pt>
                <c:pt idx="18">
                  <c:v>7.7868215773983882E-2</c:v>
                </c:pt>
                <c:pt idx="19">
                  <c:v>0.13843238359819354</c:v>
                </c:pt>
                <c:pt idx="20">
                  <c:v>0.27686476719638708</c:v>
                </c:pt>
                <c:pt idx="21">
                  <c:v>0.44557923470668548</c:v>
                </c:pt>
                <c:pt idx="22">
                  <c:v>0.71379197792818549</c:v>
                </c:pt>
                <c:pt idx="23">
                  <c:v>0.9690266851873548</c:v>
                </c:pt>
                <c:pt idx="24">
                  <c:v>0.97767870916224198</c:v>
                </c:pt>
                <c:pt idx="25">
                  <c:v>0.74407406184029035</c:v>
                </c:pt>
                <c:pt idx="26">
                  <c:v>0.50614340253089518</c:v>
                </c:pt>
                <c:pt idx="27">
                  <c:v>0.35473298297037098</c:v>
                </c:pt>
                <c:pt idx="28">
                  <c:v>0.24658268328428229</c:v>
                </c:pt>
                <c:pt idx="29">
                  <c:v>0.20332256340984681</c:v>
                </c:pt>
                <c:pt idx="30">
                  <c:v>0.16871446751029842</c:v>
                </c:pt>
                <c:pt idx="31">
                  <c:v>0.14275839558563713</c:v>
                </c:pt>
                <c:pt idx="32">
                  <c:v>0.11680232366097584</c:v>
                </c:pt>
                <c:pt idx="33">
                  <c:v>9.0846251736314554E-2</c:v>
                </c:pt>
                <c:pt idx="34">
                  <c:v>5.6238155836766168E-2</c:v>
                </c:pt>
                <c:pt idx="35">
                  <c:v>0</c:v>
                </c:pt>
                <c:pt idx="36">
                  <c:v>0</c:v>
                </c:pt>
                <c:pt idx="37">
                  <c:v>-1.2978035962330646E-2</c:v>
                </c:pt>
                <c:pt idx="38">
                  <c:v>-2.1630059937217741E-2</c:v>
                </c:pt>
                <c:pt idx="39">
                  <c:v>-3.4608095899548386E-2</c:v>
                </c:pt>
                <c:pt idx="40">
                  <c:v>-5.1912143849322578E-2</c:v>
                </c:pt>
                <c:pt idx="41">
                  <c:v>-6.9216191799096771E-2</c:v>
                </c:pt>
                <c:pt idx="42">
                  <c:v>-8.2194227761427416E-2</c:v>
                </c:pt>
                <c:pt idx="43">
                  <c:v>-0.13410637161075001</c:v>
                </c:pt>
                <c:pt idx="44">
                  <c:v>-0.24658268328428226</c:v>
                </c:pt>
                <c:pt idx="45">
                  <c:v>-0.38934107886991931</c:v>
                </c:pt>
                <c:pt idx="46">
                  <c:v>-0.61429370221698387</c:v>
                </c:pt>
                <c:pt idx="47">
                  <c:v>-0.83492031357660479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0-42F5-A0A1-C50DB2B3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49424"/>
        <c:axId val="817033104"/>
      </c:scatterChart>
      <c:valAx>
        <c:axId val="81704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33104"/>
        <c:crosses val="autoZero"/>
        <c:crossBetween val="midCat"/>
      </c:valAx>
      <c:valAx>
        <c:axId val="8170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4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Графики!$R$39:$R$50</c:f>
              <c:numCache>
                <c:formatCode>General</c:formatCode>
                <c:ptCount val="12"/>
                <c:pt idx="0">
                  <c:v>-8121.3592233009695</c:v>
                </c:pt>
                <c:pt idx="1">
                  <c:v>-2863.2818717173323</c:v>
                </c:pt>
                <c:pt idx="2">
                  <c:v>-1395.0421773038356</c:v>
                </c:pt>
                <c:pt idx="3">
                  <c:v>-875.91914690434498</c:v>
                </c:pt>
                <c:pt idx="4">
                  <c:v>-529.31720515677216</c:v>
                </c:pt>
                <c:pt idx="5">
                  <c:v>-372.00381983129074</c:v>
                </c:pt>
                <c:pt idx="6">
                  <c:v>-311.84147700143239</c:v>
                </c:pt>
                <c:pt idx="7">
                  <c:v>-247.8911348082126</c:v>
                </c:pt>
                <c:pt idx="8">
                  <c:v>-217.80996339328348</c:v>
                </c:pt>
                <c:pt idx="9">
                  <c:v>-156.5335031036129</c:v>
                </c:pt>
                <c:pt idx="10">
                  <c:v>-85.787044405538737</c:v>
                </c:pt>
                <c:pt idx="11">
                  <c:v>0</c:v>
                </c:pt>
              </c:numCache>
            </c:numRef>
          </c:xVal>
          <c:yVal>
            <c:numRef>
              <c:f>Графики!$S$39:$S$50</c:f>
              <c:numCache>
                <c:formatCode>General</c:formatCode>
                <c:ptCount val="12"/>
                <c:pt idx="0">
                  <c:v>-0.994982757112016</c:v>
                </c:pt>
                <c:pt idx="1">
                  <c:v>-0.7527260858151773</c:v>
                </c:pt>
                <c:pt idx="2">
                  <c:v>-0.51479542650578214</c:v>
                </c:pt>
                <c:pt idx="3">
                  <c:v>-0.36771101893270153</c:v>
                </c:pt>
                <c:pt idx="4">
                  <c:v>-0.25956071924661284</c:v>
                </c:pt>
                <c:pt idx="5">
                  <c:v>-0.19899655142240316</c:v>
                </c:pt>
                <c:pt idx="6">
                  <c:v>-0.16871446751029834</c:v>
                </c:pt>
                <c:pt idx="7">
                  <c:v>-0.14275839558563705</c:v>
                </c:pt>
                <c:pt idx="8">
                  <c:v>-0.12112833564841931</c:v>
                </c:pt>
                <c:pt idx="9">
                  <c:v>-9.5172263723758019E-2</c:v>
                </c:pt>
                <c:pt idx="10">
                  <c:v>-6.4890179811653181E-2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63-4F08-A6A4-28BD3A37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71984"/>
        <c:axId val="817069584"/>
      </c:scatterChart>
      <c:valAx>
        <c:axId val="8170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69584"/>
        <c:crosses val="autoZero"/>
        <c:crossBetween val="midCat"/>
      </c:valAx>
      <c:valAx>
        <c:axId val="81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7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Графики!$X$39:$X$50</c:f>
              <c:numCache>
                <c:formatCode>General</c:formatCode>
                <c:ptCount val="12"/>
                <c:pt idx="0">
                  <c:v>0</c:v>
                </c:pt>
                <c:pt idx="1">
                  <c:v>85.787044405538737</c:v>
                </c:pt>
                <c:pt idx="2">
                  <c:v>156.5335031036129</c:v>
                </c:pt>
                <c:pt idx="3">
                  <c:v>217.80996339328348</c:v>
                </c:pt>
                <c:pt idx="4">
                  <c:v>247.83542893522201</c:v>
                </c:pt>
                <c:pt idx="5">
                  <c:v>311.39583001750754</c:v>
                </c:pt>
                <c:pt idx="6">
                  <c:v>371.55817284736588</c:v>
                </c:pt>
                <c:pt idx="7">
                  <c:v>528.6487346808849</c:v>
                </c:pt>
                <c:pt idx="8">
                  <c:v>875.13926468247632</c:v>
                </c:pt>
                <c:pt idx="9">
                  <c:v>1394.3180009549578</c:v>
                </c:pt>
                <c:pt idx="10">
                  <c:v>2861.6106955276141</c:v>
                </c:pt>
                <c:pt idx="11">
                  <c:v>8119.6880471112518</c:v>
                </c:pt>
              </c:numCache>
            </c:numRef>
          </c:xVal>
          <c:yVal>
            <c:numRef>
              <c:f>Графики!$Y$39:$Y$50</c:f>
              <c:numCache>
                <c:formatCode>General</c:formatCode>
                <c:ptCount val="12"/>
                <c:pt idx="0">
                  <c:v>0</c:v>
                </c:pt>
                <c:pt idx="1">
                  <c:v>1.2978035962330646E-2</c:v>
                </c:pt>
                <c:pt idx="2">
                  <c:v>2.5956071924661293E-2</c:v>
                </c:pt>
                <c:pt idx="3">
                  <c:v>3.8934107886991941E-2</c:v>
                </c:pt>
                <c:pt idx="4">
                  <c:v>4.7586131861879037E-2</c:v>
                </c:pt>
                <c:pt idx="5">
                  <c:v>6.4890179811653237E-2</c:v>
                </c:pt>
                <c:pt idx="6">
                  <c:v>7.7868215773983882E-2</c:v>
                </c:pt>
                <c:pt idx="7">
                  <c:v>0.13843238359819354</c:v>
                </c:pt>
                <c:pt idx="8">
                  <c:v>0.27686476719638708</c:v>
                </c:pt>
                <c:pt idx="9">
                  <c:v>0.44557923470668548</c:v>
                </c:pt>
                <c:pt idx="10">
                  <c:v>0.71379197792818549</c:v>
                </c:pt>
                <c:pt idx="11">
                  <c:v>0.9690266851873548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A-4840-B38A-00870408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81584"/>
        <c:axId val="817082064"/>
      </c:scatterChart>
      <c:valAx>
        <c:axId val="8170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82064"/>
        <c:crosses val="autoZero"/>
        <c:crossBetween val="midCat"/>
      </c:valAx>
      <c:valAx>
        <c:axId val="8170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8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'Для латеха'!$H$3:$H$26</c:f>
              <c:numCache>
                <c:formatCode>General</c:formatCode>
                <c:ptCount val="24"/>
                <c:pt idx="0">
                  <c:v>8121.3592233009695</c:v>
                </c:pt>
                <c:pt idx="1">
                  <c:v>2863.2818717173323</c:v>
                </c:pt>
                <c:pt idx="2">
                  <c:v>1395.0421773038356</c:v>
                </c:pt>
                <c:pt idx="3">
                  <c:v>875.91914690434498</c:v>
                </c:pt>
                <c:pt idx="4">
                  <c:v>529.31720515677216</c:v>
                </c:pt>
                <c:pt idx="5">
                  <c:v>372.00381983129074</c:v>
                </c:pt>
                <c:pt idx="6">
                  <c:v>311.84147700143239</c:v>
                </c:pt>
                <c:pt idx="7">
                  <c:v>247.8911348082126</c:v>
                </c:pt>
                <c:pt idx="8">
                  <c:v>217.80996339328348</c:v>
                </c:pt>
                <c:pt idx="9">
                  <c:v>156.5335031036129</c:v>
                </c:pt>
                <c:pt idx="10">
                  <c:v>85.787044405538737</c:v>
                </c:pt>
                <c:pt idx="11">
                  <c:v>0</c:v>
                </c:pt>
                <c:pt idx="12">
                  <c:v>0</c:v>
                </c:pt>
                <c:pt idx="13">
                  <c:v>-85.787044405538737</c:v>
                </c:pt>
                <c:pt idx="14">
                  <c:v>-156.5335031036129</c:v>
                </c:pt>
                <c:pt idx="15">
                  <c:v>-217.80996339328348</c:v>
                </c:pt>
                <c:pt idx="16">
                  <c:v>-247.83542893522201</c:v>
                </c:pt>
                <c:pt idx="17">
                  <c:v>-311.39583001750754</c:v>
                </c:pt>
                <c:pt idx="18">
                  <c:v>-371.55817284736588</c:v>
                </c:pt>
                <c:pt idx="19">
                  <c:v>-528.6487346808849</c:v>
                </c:pt>
                <c:pt idx="20">
                  <c:v>-875.13926468247632</c:v>
                </c:pt>
                <c:pt idx="21">
                  <c:v>-1394.3180009549578</c:v>
                </c:pt>
                <c:pt idx="22">
                  <c:v>-2861.6106955276141</c:v>
                </c:pt>
                <c:pt idx="23">
                  <c:v>-8119.6880471112518</c:v>
                </c:pt>
              </c:numCache>
            </c:numRef>
          </c:xVal>
          <c:yVal>
            <c:numRef>
              <c:f>'Для латеха'!$I$3:$I$26</c:f>
              <c:numCache>
                <c:formatCode>General</c:formatCode>
                <c:ptCount val="24"/>
                <c:pt idx="0">
                  <c:v>0</c:v>
                </c:pt>
                <c:pt idx="1">
                  <c:v>0.2422566712968387</c:v>
                </c:pt>
                <c:pt idx="2">
                  <c:v>0.48018733060623386</c:v>
                </c:pt>
                <c:pt idx="3">
                  <c:v>0.62727173817931448</c:v>
                </c:pt>
                <c:pt idx="4">
                  <c:v>0.73542203786540317</c:v>
                </c:pt>
                <c:pt idx="5">
                  <c:v>0.79598620568961287</c:v>
                </c:pt>
                <c:pt idx="6">
                  <c:v>0.82626828960171772</c:v>
                </c:pt>
                <c:pt idx="7">
                  <c:v>0.85222436152637904</c:v>
                </c:pt>
                <c:pt idx="8">
                  <c:v>0.87385442146359682</c:v>
                </c:pt>
                <c:pt idx="9">
                  <c:v>0.89981049338825814</c:v>
                </c:pt>
                <c:pt idx="10">
                  <c:v>0.93009257730036299</c:v>
                </c:pt>
                <c:pt idx="11">
                  <c:v>0.99498275711201623</c:v>
                </c:pt>
                <c:pt idx="12">
                  <c:v>0</c:v>
                </c:pt>
                <c:pt idx="13">
                  <c:v>-1.2978035962330646E-2</c:v>
                </c:pt>
                <c:pt idx="14">
                  <c:v>-2.5956071924661293E-2</c:v>
                </c:pt>
                <c:pt idx="15">
                  <c:v>-3.8934107886991941E-2</c:v>
                </c:pt>
                <c:pt idx="16">
                  <c:v>-4.7586131861879037E-2</c:v>
                </c:pt>
                <c:pt idx="17">
                  <c:v>-6.4890179811653237E-2</c:v>
                </c:pt>
                <c:pt idx="18">
                  <c:v>-7.7868215773983882E-2</c:v>
                </c:pt>
                <c:pt idx="19">
                  <c:v>-0.13843238359819354</c:v>
                </c:pt>
                <c:pt idx="20">
                  <c:v>-0.27686476719638708</c:v>
                </c:pt>
                <c:pt idx="21">
                  <c:v>-0.44557923470668548</c:v>
                </c:pt>
                <c:pt idx="22">
                  <c:v>-0.71379197792818549</c:v>
                </c:pt>
                <c:pt idx="23">
                  <c:v>-0.9690266851873548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5-40FE-BC91-59EE9A59F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81024"/>
        <c:axId val="1936398304"/>
      </c:scatterChart>
      <c:valAx>
        <c:axId val="193638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398304"/>
        <c:crosses val="autoZero"/>
        <c:crossBetween val="midCat"/>
      </c:valAx>
      <c:valAx>
        <c:axId val="19363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38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'Для латеха'!$S$3:$S$11</c:f>
              <c:numCache>
                <c:formatCode>General</c:formatCode>
                <c:ptCount val="9"/>
                <c:pt idx="0">
                  <c:v>0</c:v>
                </c:pt>
                <c:pt idx="1">
                  <c:v>85.787044405538737</c:v>
                </c:pt>
                <c:pt idx="2">
                  <c:v>156.5335031036129</c:v>
                </c:pt>
                <c:pt idx="3">
                  <c:v>217.80996339328348</c:v>
                </c:pt>
                <c:pt idx="4">
                  <c:v>247.83542893522201</c:v>
                </c:pt>
                <c:pt idx="5">
                  <c:v>311.39583001750754</c:v>
                </c:pt>
                <c:pt idx="6">
                  <c:v>371.55817284736588</c:v>
                </c:pt>
                <c:pt idx="7">
                  <c:v>528.6487346808849</c:v>
                </c:pt>
                <c:pt idx="8">
                  <c:v>875.13926468247632</c:v>
                </c:pt>
              </c:numCache>
            </c:numRef>
          </c:xVal>
          <c:yVal>
            <c:numRef>
              <c:f>'Для латеха'!$T$3:$T$11</c:f>
              <c:numCache>
                <c:formatCode>General</c:formatCode>
                <c:ptCount val="9"/>
                <c:pt idx="0">
                  <c:v>0</c:v>
                </c:pt>
                <c:pt idx="1">
                  <c:v>-1.2978035962330646E-2</c:v>
                </c:pt>
                <c:pt idx="2">
                  <c:v>-2.5956071924661293E-2</c:v>
                </c:pt>
                <c:pt idx="3">
                  <c:v>-3.8934107886991941E-2</c:v>
                </c:pt>
                <c:pt idx="4">
                  <c:v>-4.7586131861879037E-2</c:v>
                </c:pt>
                <c:pt idx="5">
                  <c:v>-6.4890179811653237E-2</c:v>
                </c:pt>
                <c:pt idx="6">
                  <c:v>-7.7868215773983882E-2</c:v>
                </c:pt>
                <c:pt idx="7">
                  <c:v>-0.13843238359819354</c:v>
                </c:pt>
                <c:pt idx="8">
                  <c:v>-0.27686476719638708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C1-401D-AABA-AFFEF0ACA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87744"/>
        <c:axId val="1936388704"/>
      </c:scatterChart>
      <c:valAx>
        <c:axId val="193638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388704"/>
        <c:crosses val="autoZero"/>
        <c:crossBetween val="midCat"/>
      </c:valAx>
      <c:valAx>
        <c:axId val="19363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638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Лист4!$D$2:$D$61</c:f>
              <c:numCache>
                <c:formatCode>General</c:formatCode>
                <c:ptCount val="60"/>
                <c:pt idx="0">
                  <c:v>-7621.3592233009695</c:v>
                </c:pt>
                <c:pt idx="1">
                  <c:v>-2363.2818717173323</c:v>
                </c:pt>
                <c:pt idx="2">
                  <c:v>-895.04217730383562</c:v>
                </c:pt>
                <c:pt idx="3">
                  <c:v>-375.91914690434498</c:v>
                </c:pt>
                <c:pt idx="4">
                  <c:v>-29.317205156772161</c:v>
                </c:pt>
                <c:pt idx="5">
                  <c:v>127.99618016870926</c:v>
                </c:pt>
                <c:pt idx="6">
                  <c:v>188.15852299856761</c:v>
                </c:pt>
                <c:pt idx="7">
                  <c:v>252.1088651917874</c:v>
                </c:pt>
                <c:pt idx="8">
                  <c:v>282.19003660671649</c:v>
                </c:pt>
                <c:pt idx="9">
                  <c:v>343.46649689638707</c:v>
                </c:pt>
                <c:pt idx="10">
                  <c:v>414.21295559446128</c:v>
                </c:pt>
                <c:pt idx="11">
                  <c:v>500</c:v>
                </c:pt>
                <c:pt idx="12">
                  <c:v>500</c:v>
                </c:pt>
                <c:pt idx="13">
                  <c:v>585.78704440553872</c:v>
                </c:pt>
                <c:pt idx="14">
                  <c:v>656.53350310361293</c:v>
                </c:pt>
                <c:pt idx="15">
                  <c:v>717.80996339328351</c:v>
                </c:pt>
                <c:pt idx="16">
                  <c:v>747.83542893522201</c:v>
                </c:pt>
                <c:pt idx="17">
                  <c:v>811.39583001750748</c:v>
                </c:pt>
                <c:pt idx="18">
                  <c:v>871.55817284736588</c:v>
                </c:pt>
                <c:pt idx="19">
                  <c:v>1028.6487346808849</c:v>
                </c:pt>
                <c:pt idx="20">
                  <c:v>1375.1392646824763</c:v>
                </c:pt>
                <c:pt idx="21">
                  <c:v>1894.3180009549578</c:v>
                </c:pt>
                <c:pt idx="22">
                  <c:v>3361.6106955276141</c:v>
                </c:pt>
                <c:pt idx="23">
                  <c:v>8619.6880471112527</c:v>
                </c:pt>
                <c:pt idx="24">
                  <c:v>7621.3592233009695</c:v>
                </c:pt>
                <c:pt idx="25">
                  <c:v>2363.2818717173323</c:v>
                </c:pt>
                <c:pt idx="26">
                  <c:v>895.04217730383562</c:v>
                </c:pt>
                <c:pt idx="27">
                  <c:v>375.91914690434498</c:v>
                </c:pt>
                <c:pt idx="28">
                  <c:v>29.317205156772161</c:v>
                </c:pt>
                <c:pt idx="29">
                  <c:v>-127.99618016870926</c:v>
                </c:pt>
                <c:pt idx="30">
                  <c:v>-188.15852299856761</c:v>
                </c:pt>
                <c:pt idx="31">
                  <c:v>-252.1088651917874</c:v>
                </c:pt>
                <c:pt idx="32">
                  <c:v>-282.19003660671649</c:v>
                </c:pt>
                <c:pt idx="33">
                  <c:v>-343.46649689638707</c:v>
                </c:pt>
                <c:pt idx="34">
                  <c:v>-414.21295559446128</c:v>
                </c:pt>
                <c:pt idx="35">
                  <c:v>-500</c:v>
                </c:pt>
                <c:pt idx="36">
                  <c:v>-500</c:v>
                </c:pt>
                <c:pt idx="37">
                  <c:v>-585.78704440553872</c:v>
                </c:pt>
                <c:pt idx="38">
                  <c:v>-656.53350310361293</c:v>
                </c:pt>
                <c:pt idx="39">
                  <c:v>-717.80996339328351</c:v>
                </c:pt>
                <c:pt idx="40">
                  <c:v>-747.83542893522201</c:v>
                </c:pt>
                <c:pt idx="41">
                  <c:v>-811.39583001750748</c:v>
                </c:pt>
                <c:pt idx="42">
                  <c:v>-871.55817284736588</c:v>
                </c:pt>
                <c:pt idx="43">
                  <c:v>-1028.6487346808849</c:v>
                </c:pt>
                <c:pt idx="44">
                  <c:v>-1375.1392646824763</c:v>
                </c:pt>
                <c:pt idx="45">
                  <c:v>-1894.3180009549578</c:v>
                </c:pt>
                <c:pt idx="46">
                  <c:v>-3361.6106955276141</c:v>
                </c:pt>
                <c:pt idx="47">
                  <c:v>-8619.6880471112527</c:v>
                </c:pt>
                <c:pt idx="48">
                  <c:v>0</c:v>
                </c:pt>
                <c:pt idx="49">
                  <c:v>85.229985675632662</c:v>
                </c:pt>
                <c:pt idx="50">
                  <c:v>156.5335031036129</c:v>
                </c:pt>
                <c:pt idx="51">
                  <c:v>217.80996339328348</c:v>
                </c:pt>
                <c:pt idx="52">
                  <c:v>247.8911348082126</c:v>
                </c:pt>
                <c:pt idx="53">
                  <c:v>311.39583001750754</c:v>
                </c:pt>
                <c:pt idx="54">
                  <c:v>371.55817284736588</c:v>
                </c:pt>
                <c:pt idx="55">
                  <c:v>528.6487346808849</c:v>
                </c:pt>
                <c:pt idx="56">
                  <c:v>875.69632341238241</c:v>
                </c:pt>
                <c:pt idx="57">
                  <c:v>1394.875059684864</c:v>
                </c:pt>
                <c:pt idx="58">
                  <c:v>2862.7248129874265</c:v>
                </c:pt>
                <c:pt idx="59">
                  <c:v>8119.6880471112518</c:v>
                </c:pt>
              </c:numCache>
            </c:numRef>
          </c:xVal>
          <c:yVal>
            <c:numRef>
              <c:f>Лист4!$E$2:$E$61</c:f>
              <c:numCache>
                <c:formatCode>General</c:formatCode>
                <c:ptCount val="60"/>
                <c:pt idx="0">
                  <c:v>-0.994982757112016</c:v>
                </c:pt>
                <c:pt idx="1">
                  <c:v>-0.7527260858151773</c:v>
                </c:pt>
                <c:pt idx="2">
                  <c:v>-0.51479542650578214</c:v>
                </c:pt>
                <c:pt idx="3">
                  <c:v>-0.36771101893270153</c:v>
                </c:pt>
                <c:pt idx="4">
                  <c:v>-0.25956071924661284</c:v>
                </c:pt>
                <c:pt idx="5">
                  <c:v>-0.19899655142240316</c:v>
                </c:pt>
                <c:pt idx="6">
                  <c:v>-0.16871446751029834</c:v>
                </c:pt>
                <c:pt idx="7">
                  <c:v>-0.14275839558563705</c:v>
                </c:pt>
                <c:pt idx="8">
                  <c:v>-0.12112833564841931</c:v>
                </c:pt>
                <c:pt idx="9">
                  <c:v>-9.5172263723758019E-2</c:v>
                </c:pt>
                <c:pt idx="10">
                  <c:v>-6.4890179811653181E-2</c:v>
                </c:pt>
                <c:pt idx="11">
                  <c:v>0</c:v>
                </c:pt>
                <c:pt idx="12">
                  <c:v>0</c:v>
                </c:pt>
                <c:pt idx="13">
                  <c:v>1.2978035962330646E-2</c:v>
                </c:pt>
                <c:pt idx="14">
                  <c:v>2.5956071924661293E-2</c:v>
                </c:pt>
                <c:pt idx="15">
                  <c:v>3.8934107886991941E-2</c:v>
                </c:pt>
                <c:pt idx="16">
                  <c:v>4.7586131861879037E-2</c:v>
                </c:pt>
                <c:pt idx="17">
                  <c:v>6.4890179811653237E-2</c:v>
                </c:pt>
                <c:pt idx="18">
                  <c:v>7.7868215773983882E-2</c:v>
                </c:pt>
                <c:pt idx="19">
                  <c:v>0.13843238359819354</c:v>
                </c:pt>
                <c:pt idx="20">
                  <c:v>0.27686476719638708</c:v>
                </c:pt>
                <c:pt idx="21">
                  <c:v>0.44557923470668548</c:v>
                </c:pt>
                <c:pt idx="22">
                  <c:v>0.71379197792818549</c:v>
                </c:pt>
                <c:pt idx="23">
                  <c:v>0.9690266851873548</c:v>
                </c:pt>
                <c:pt idx="24">
                  <c:v>0.97767870916224198</c:v>
                </c:pt>
                <c:pt idx="25">
                  <c:v>0.74407406184029035</c:v>
                </c:pt>
                <c:pt idx="26">
                  <c:v>0.50614340253089518</c:v>
                </c:pt>
                <c:pt idx="27">
                  <c:v>0.35473298297037098</c:v>
                </c:pt>
                <c:pt idx="28">
                  <c:v>0.24658268328428229</c:v>
                </c:pt>
                <c:pt idx="29">
                  <c:v>0.20332256340984681</c:v>
                </c:pt>
                <c:pt idx="30">
                  <c:v>0.16871446751029842</c:v>
                </c:pt>
                <c:pt idx="31">
                  <c:v>0.14275839558563713</c:v>
                </c:pt>
                <c:pt idx="32">
                  <c:v>0.11680232366097584</c:v>
                </c:pt>
                <c:pt idx="33">
                  <c:v>9.0846251736314554E-2</c:v>
                </c:pt>
                <c:pt idx="34">
                  <c:v>5.6238155836766168E-2</c:v>
                </c:pt>
                <c:pt idx="35">
                  <c:v>0</c:v>
                </c:pt>
                <c:pt idx="36">
                  <c:v>0</c:v>
                </c:pt>
                <c:pt idx="37">
                  <c:v>-1.5573643154796774E-2</c:v>
                </c:pt>
                <c:pt idx="38">
                  <c:v>-2.5956071924661289E-2</c:v>
                </c:pt>
                <c:pt idx="39">
                  <c:v>-4.152971507945806E-2</c:v>
                </c:pt>
                <c:pt idx="40">
                  <c:v>-6.229457261918709E-2</c:v>
                </c:pt>
                <c:pt idx="41">
                  <c:v>-8.305943015891612E-2</c:v>
                </c:pt>
                <c:pt idx="42">
                  <c:v>-9.8633073313712891E-2</c:v>
                </c:pt>
                <c:pt idx="43">
                  <c:v>-0.16092764593290002</c:v>
                </c:pt>
                <c:pt idx="44">
                  <c:v>-0.29589921994113871</c:v>
                </c:pt>
                <c:pt idx="45">
                  <c:v>-0.46720929464390315</c:v>
                </c:pt>
                <c:pt idx="46">
                  <c:v>-0.7371524426603806</c:v>
                </c:pt>
                <c:pt idx="47">
                  <c:v>-1.0019043762919257</c:v>
                </c:pt>
                <c:pt idx="48">
                  <c:v>0</c:v>
                </c:pt>
                <c:pt idx="49">
                  <c:v>1.3843238359819356E-2</c:v>
                </c:pt>
                <c:pt idx="50">
                  <c:v>4.3260119874435482E-2</c:v>
                </c:pt>
                <c:pt idx="51">
                  <c:v>0.11939793085344193</c:v>
                </c:pt>
                <c:pt idx="52">
                  <c:v>0.15746683634294514</c:v>
                </c:pt>
                <c:pt idx="53">
                  <c:v>0.23533505211692904</c:v>
                </c:pt>
                <c:pt idx="54">
                  <c:v>0.28205598158131934</c:v>
                </c:pt>
                <c:pt idx="55">
                  <c:v>0.38761067407494193</c:v>
                </c:pt>
                <c:pt idx="56">
                  <c:v>0.51046941451833872</c:v>
                </c:pt>
                <c:pt idx="57">
                  <c:v>0.61429370221698376</c:v>
                </c:pt>
                <c:pt idx="58">
                  <c:v>0.75099568102019987</c:v>
                </c:pt>
                <c:pt idx="59">
                  <c:v>0.87385442146359671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68-4998-B1D0-6D3144B0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87344"/>
        <c:axId val="817087824"/>
      </c:scatterChart>
      <c:valAx>
        <c:axId val="81708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87824"/>
        <c:crosses val="autoZero"/>
        <c:crossBetween val="midCat"/>
      </c:valAx>
      <c:valAx>
        <c:axId val="81708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8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Лист5!$G$13:$G$36</c:f>
              <c:numCache>
                <c:formatCode>General</c:formatCode>
                <c:ptCount val="24"/>
                <c:pt idx="0">
                  <c:v>0</c:v>
                </c:pt>
                <c:pt idx="1">
                  <c:v>85.787044405538737</c:v>
                </c:pt>
                <c:pt idx="2">
                  <c:v>156.5335031036129</c:v>
                </c:pt>
                <c:pt idx="3">
                  <c:v>217.80996339328348</c:v>
                </c:pt>
                <c:pt idx="4">
                  <c:v>247.83542893522201</c:v>
                </c:pt>
                <c:pt idx="5">
                  <c:v>311.39583001750754</c:v>
                </c:pt>
                <c:pt idx="6">
                  <c:v>371.55817284736588</c:v>
                </c:pt>
                <c:pt idx="7">
                  <c:v>528.6487346808849</c:v>
                </c:pt>
                <c:pt idx="8">
                  <c:v>875.13926468247632</c:v>
                </c:pt>
                <c:pt idx="9">
                  <c:v>1394.3180009549578</c:v>
                </c:pt>
                <c:pt idx="10">
                  <c:v>2861.6106955276141</c:v>
                </c:pt>
                <c:pt idx="11">
                  <c:v>8119.6880471112518</c:v>
                </c:pt>
                <c:pt idx="12">
                  <c:v>8121.36</c:v>
                </c:pt>
                <c:pt idx="13">
                  <c:v>8035.5729555944608</c:v>
                </c:pt>
                <c:pt idx="14">
                  <c:v>7964.8264968963867</c:v>
                </c:pt>
                <c:pt idx="15">
                  <c:v>7903.5500366067163</c:v>
                </c:pt>
                <c:pt idx="16">
                  <c:v>7873.4688651917868</c:v>
                </c:pt>
                <c:pt idx="17">
                  <c:v>7809.5185229985673</c:v>
                </c:pt>
                <c:pt idx="18">
                  <c:v>7749.3561801687092</c:v>
                </c:pt>
                <c:pt idx="19">
                  <c:v>7592.042794843228</c:v>
                </c:pt>
                <c:pt idx="20">
                  <c:v>7245.4408530956543</c:v>
                </c:pt>
                <c:pt idx="21">
                  <c:v>6726.3178226961645</c:v>
                </c:pt>
                <c:pt idx="22">
                  <c:v>5258.0781282826674</c:v>
                </c:pt>
                <c:pt idx="23">
                  <c:v>7.766990302116028E-4</c:v>
                </c:pt>
              </c:numCache>
            </c:numRef>
          </c:xVal>
          <c:yVal>
            <c:numRef>
              <c:f>Лист5!$H$13:$H$36</c:f>
              <c:numCache>
                <c:formatCode>General</c:formatCode>
                <c:ptCount val="24"/>
                <c:pt idx="0">
                  <c:v>0</c:v>
                </c:pt>
                <c:pt idx="1">
                  <c:v>1.2978035962330646E-2</c:v>
                </c:pt>
                <c:pt idx="2">
                  <c:v>2.5956071924661293E-2</c:v>
                </c:pt>
                <c:pt idx="3">
                  <c:v>3.8934107886991941E-2</c:v>
                </c:pt>
                <c:pt idx="4">
                  <c:v>4.7586131861879037E-2</c:v>
                </c:pt>
                <c:pt idx="5">
                  <c:v>6.4890179811653237E-2</c:v>
                </c:pt>
                <c:pt idx="6">
                  <c:v>7.7868215773983882E-2</c:v>
                </c:pt>
                <c:pt idx="7">
                  <c:v>0.13843238359819354</c:v>
                </c:pt>
                <c:pt idx="8">
                  <c:v>0.27686476719638708</c:v>
                </c:pt>
                <c:pt idx="9">
                  <c:v>0.44557923470668548</c:v>
                </c:pt>
                <c:pt idx="10">
                  <c:v>0.71379197792818549</c:v>
                </c:pt>
                <c:pt idx="11">
                  <c:v>0.9690266851873548</c:v>
                </c:pt>
                <c:pt idx="12">
                  <c:v>0.99497999999999998</c:v>
                </c:pt>
                <c:pt idx="13">
                  <c:v>0.93008982018834674</c:v>
                </c:pt>
                <c:pt idx="14">
                  <c:v>0.899807736276242</c:v>
                </c:pt>
                <c:pt idx="15">
                  <c:v>0.87385166435158068</c:v>
                </c:pt>
                <c:pt idx="16">
                  <c:v>0.8522216044143629</c:v>
                </c:pt>
                <c:pt idx="17">
                  <c:v>0.82626553248970169</c:v>
                </c:pt>
                <c:pt idx="18">
                  <c:v>0.79598344857759684</c:v>
                </c:pt>
                <c:pt idx="19">
                  <c:v>0.73541928075338714</c:v>
                </c:pt>
                <c:pt idx="20">
                  <c:v>0.62726898106729845</c:v>
                </c:pt>
                <c:pt idx="21">
                  <c:v>0.48018457349421784</c:v>
                </c:pt>
                <c:pt idx="22">
                  <c:v>0.24225391418482267</c:v>
                </c:pt>
                <c:pt idx="23">
                  <c:v>-2.7571120160274631E-6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80-418C-97D6-2AB26244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189072"/>
        <c:axId val="1334188592"/>
      </c:scatterChart>
      <c:valAx>
        <c:axId val="13341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188592"/>
        <c:crosses val="autoZero"/>
        <c:crossBetween val="midCat"/>
      </c:valAx>
      <c:valAx>
        <c:axId val="13341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1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Лист5!$J$13:$J$48</c:f>
              <c:numCache>
                <c:formatCode>General</c:formatCode>
                <c:ptCount val="36"/>
                <c:pt idx="0">
                  <c:v>-4060</c:v>
                </c:pt>
                <c:pt idx="1">
                  <c:v>-3974.2129555944612</c:v>
                </c:pt>
                <c:pt idx="2">
                  <c:v>-3903.4664968963871</c:v>
                </c:pt>
                <c:pt idx="3">
                  <c:v>-3842.1900366067166</c:v>
                </c:pt>
                <c:pt idx="4">
                  <c:v>-3812.1645710647781</c:v>
                </c:pt>
                <c:pt idx="5">
                  <c:v>-3748.6041699824923</c:v>
                </c:pt>
                <c:pt idx="6">
                  <c:v>-3688.4418271526342</c:v>
                </c:pt>
                <c:pt idx="7">
                  <c:v>-3531.3512653191151</c:v>
                </c:pt>
                <c:pt idx="8">
                  <c:v>-3184.8607353175239</c:v>
                </c:pt>
                <c:pt idx="9">
                  <c:v>-2665.6819990450422</c:v>
                </c:pt>
                <c:pt idx="10">
                  <c:v>-1198.3893044723859</c:v>
                </c:pt>
                <c:pt idx="11">
                  <c:v>4059.6880471112518</c:v>
                </c:pt>
                <c:pt idx="12">
                  <c:v>4061.3599999999997</c:v>
                </c:pt>
                <c:pt idx="13">
                  <c:v>3975.5729555944608</c:v>
                </c:pt>
                <c:pt idx="14">
                  <c:v>3904.8264968963867</c:v>
                </c:pt>
                <c:pt idx="15">
                  <c:v>3843.5500366067163</c:v>
                </c:pt>
                <c:pt idx="16">
                  <c:v>3813.4688651917868</c:v>
                </c:pt>
                <c:pt idx="17">
                  <c:v>3749.5185229985673</c:v>
                </c:pt>
                <c:pt idx="18">
                  <c:v>3689.3561801687092</c:v>
                </c:pt>
                <c:pt idx="19">
                  <c:v>3532.042794843228</c:v>
                </c:pt>
                <c:pt idx="20">
                  <c:v>3185.4408530956543</c:v>
                </c:pt>
                <c:pt idx="21">
                  <c:v>2666.3178226961645</c:v>
                </c:pt>
                <c:pt idx="22">
                  <c:v>1198.0781282826674</c:v>
                </c:pt>
                <c:pt idx="23">
                  <c:v>-4059.9992233009698</c:v>
                </c:pt>
                <c:pt idx="24">
                  <c:v>0</c:v>
                </c:pt>
                <c:pt idx="25">
                  <c:v>42.614992837816331</c:v>
                </c:pt>
                <c:pt idx="26">
                  <c:v>78.26675155180645</c:v>
                </c:pt>
                <c:pt idx="27">
                  <c:v>108.90498169664174</c:v>
                </c:pt>
                <c:pt idx="28">
                  <c:v>123.9455674041063</c:v>
                </c:pt>
                <c:pt idx="29">
                  <c:v>155.69791500875377</c:v>
                </c:pt>
                <c:pt idx="30">
                  <c:v>185.77908642368294</c:v>
                </c:pt>
                <c:pt idx="31">
                  <c:v>264.32436734044245</c:v>
                </c:pt>
                <c:pt idx="32">
                  <c:v>437.84816170619121</c:v>
                </c:pt>
                <c:pt idx="33">
                  <c:v>697.43752984243201</c:v>
                </c:pt>
                <c:pt idx="34">
                  <c:v>1431.3624064937133</c:v>
                </c:pt>
                <c:pt idx="35">
                  <c:v>4059.8440235556259</c:v>
                </c:pt>
              </c:numCache>
            </c:numRef>
          </c:xVal>
          <c:yVal>
            <c:numRef>
              <c:f>Лист5!$K$13:$K$48</c:f>
              <c:numCache>
                <c:formatCode>General</c:formatCode>
                <c:ptCount val="36"/>
                <c:pt idx="0">
                  <c:v>-0.5</c:v>
                </c:pt>
                <c:pt idx="1">
                  <c:v>-0.48702196403766934</c:v>
                </c:pt>
                <c:pt idx="2">
                  <c:v>-0.47404392807533868</c:v>
                </c:pt>
                <c:pt idx="3">
                  <c:v>-0.46106589211300808</c:v>
                </c:pt>
                <c:pt idx="4">
                  <c:v>-0.45241386813812096</c:v>
                </c:pt>
                <c:pt idx="5">
                  <c:v>-0.43510982018834676</c:v>
                </c:pt>
                <c:pt idx="6">
                  <c:v>-0.4221317842260161</c:v>
                </c:pt>
                <c:pt idx="7">
                  <c:v>-0.36156761640180646</c:v>
                </c:pt>
                <c:pt idx="8">
                  <c:v>-0.22313523280361292</c:v>
                </c:pt>
                <c:pt idx="9">
                  <c:v>-5.4420765293314521E-2</c:v>
                </c:pt>
                <c:pt idx="10">
                  <c:v>0.21379197792818549</c:v>
                </c:pt>
                <c:pt idx="11">
                  <c:v>0.4690266851873548</c:v>
                </c:pt>
                <c:pt idx="12">
                  <c:v>0.49497999999999998</c:v>
                </c:pt>
                <c:pt idx="13">
                  <c:v>0.43008982018834674</c:v>
                </c:pt>
                <c:pt idx="14">
                  <c:v>0.399807736276242</c:v>
                </c:pt>
                <c:pt idx="15">
                  <c:v>0.37385166435158068</c:v>
                </c:pt>
                <c:pt idx="16">
                  <c:v>0.3522216044143629</c:v>
                </c:pt>
                <c:pt idx="17">
                  <c:v>0.32626553248970169</c:v>
                </c:pt>
                <c:pt idx="18">
                  <c:v>0.29598344857759684</c:v>
                </c:pt>
                <c:pt idx="19">
                  <c:v>0.23541928075338714</c:v>
                </c:pt>
                <c:pt idx="20">
                  <c:v>0.12726898106729845</c:v>
                </c:pt>
                <c:pt idx="21">
                  <c:v>-1.9815426505782163E-2</c:v>
                </c:pt>
                <c:pt idx="22">
                  <c:v>-0.25774608581517733</c:v>
                </c:pt>
                <c:pt idx="23">
                  <c:v>-0.50000275711201603</c:v>
                </c:pt>
                <c:pt idx="24">
                  <c:v>0</c:v>
                </c:pt>
                <c:pt idx="25">
                  <c:v>7.8654763408064505E-3</c:v>
                </c:pt>
                <c:pt idx="26">
                  <c:v>2.4579613565020156E-2</c:v>
                </c:pt>
                <c:pt idx="27">
                  <c:v>6.7839733439455638E-2</c:v>
                </c:pt>
                <c:pt idx="28">
                  <c:v>8.9469793376673365E-2</c:v>
                </c:pt>
                <c:pt idx="29">
                  <c:v>0.13371309779370966</c:v>
                </c:pt>
                <c:pt idx="30">
                  <c:v>0.16025908044393142</c:v>
                </c:pt>
                <c:pt idx="31">
                  <c:v>0.22023333754258062</c:v>
                </c:pt>
                <c:pt idx="32">
                  <c:v>0.29003944006723786</c:v>
                </c:pt>
                <c:pt idx="33">
                  <c:v>0.34903051262328616</c:v>
                </c:pt>
                <c:pt idx="34">
                  <c:v>0.42670209148874988</c:v>
                </c:pt>
                <c:pt idx="35">
                  <c:v>0.49650819401340718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EA-493C-BE42-9F327ADBA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801584"/>
        <c:axId val="1490801104"/>
      </c:scatterChart>
      <c:valAx>
        <c:axId val="149080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01104"/>
        <c:crosses val="autoZero"/>
        <c:crossBetween val="midCat"/>
      </c:valAx>
      <c:valAx>
        <c:axId val="14908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Лист6!$O$3:$O$38</c:f>
              <c:numCache>
                <c:formatCode>General</c:formatCode>
                <c:ptCount val="36"/>
                <c:pt idx="0">
                  <c:v>-3903.4664968963871</c:v>
                </c:pt>
                <c:pt idx="1">
                  <c:v>-3842.1900366067166</c:v>
                </c:pt>
                <c:pt idx="2">
                  <c:v>-3812.1645710647781</c:v>
                </c:pt>
                <c:pt idx="3">
                  <c:v>-3748.6041699824923</c:v>
                </c:pt>
                <c:pt idx="4">
                  <c:v>-3688.4418271526342</c:v>
                </c:pt>
                <c:pt idx="5">
                  <c:v>-3531.3512653191151</c:v>
                </c:pt>
                <c:pt idx="6">
                  <c:v>-3184.8607353175239</c:v>
                </c:pt>
                <c:pt idx="7">
                  <c:v>-2665.6819990450422</c:v>
                </c:pt>
                <c:pt idx="8">
                  <c:v>-1198.3893044723859</c:v>
                </c:pt>
                <c:pt idx="9">
                  <c:v>4059.6880471112518</c:v>
                </c:pt>
                <c:pt idx="10">
                  <c:v>4061.3599999999997</c:v>
                </c:pt>
                <c:pt idx="11">
                  <c:v>3975.5729555944608</c:v>
                </c:pt>
                <c:pt idx="12">
                  <c:v>3904.8264968963867</c:v>
                </c:pt>
                <c:pt idx="13">
                  <c:v>3843.5500366067163</c:v>
                </c:pt>
                <c:pt idx="14">
                  <c:v>3813.4688651917868</c:v>
                </c:pt>
                <c:pt idx="15">
                  <c:v>3749.5185229985673</c:v>
                </c:pt>
                <c:pt idx="16">
                  <c:v>3689.3561801687092</c:v>
                </c:pt>
                <c:pt idx="17">
                  <c:v>3532.042794843228</c:v>
                </c:pt>
                <c:pt idx="18">
                  <c:v>3185.4408530956543</c:v>
                </c:pt>
                <c:pt idx="19">
                  <c:v>2666.3178226961645</c:v>
                </c:pt>
                <c:pt idx="20">
                  <c:v>1198.0781282826674</c:v>
                </c:pt>
                <c:pt idx="21">
                  <c:v>-4059.9992233009698</c:v>
                </c:pt>
              </c:numCache>
            </c:numRef>
          </c:xVal>
          <c:yVal>
            <c:numRef>
              <c:f>Лист6!$P$3:$P$38</c:f>
              <c:numCache>
                <c:formatCode>General</c:formatCode>
                <c:ptCount val="36"/>
                <c:pt idx="0">
                  <c:v>-0.47404392807533868</c:v>
                </c:pt>
                <c:pt idx="1">
                  <c:v>-0.46106589211300808</c:v>
                </c:pt>
                <c:pt idx="2">
                  <c:v>-0.45241386813812096</c:v>
                </c:pt>
                <c:pt idx="3">
                  <c:v>-0.43510982018834676</c:v>
                </c:pt>
                <c:pt idx="4">
                  <c:v>-0.4221317842260161</c:v>
                </c:pt>
                <c:pt idx="5">
                  <c:v>-0.36156761640180646</c:v>
                </c:pt>
                <c:pt idx="6">
                  <c:v>-0.22313523280361292</c:v>
                </c:pt>
                <c:pt idx="7">
                  <c:v>-5.4420765293314521E-2</c:v>
                </c:pt>
                <c:pt idx="8">
                  <c:v>0.21379197792818549</c:v>
                </c:pt>
                <c:pt idx="9">
                  <c:v>0.4690266851873548</c:v>
                </c:pt>
                <c:pt idx="10">
                  <c:v>0.49497999999999998</c:v>
                </c:pt>
                <c:pt idx="11">
                  <c:v>0.43008982018834674</c:v>
                </c:pt>
                <c:pt idx="12">
                  <c:v>0.399807736276242</c:v>
                </c:pt>
                <c:pt idx="13">
                  <c:v>0.37385166435158068</c:v>
                </c:pt>
                <c:pt idx="14">
                  <c:v>0.3522216044143629</c:v>
                </c:pt>
                <c:pt idx="15">
                  <c:v>0.32626553248970169</c:v>
                </c:pt>
                <c:pt idx="16">
                  <c:v>0.29598344857759684</c:v>
                </c:pt>
                <c:pt idx="17">
                  <c:v>0.23541928075338714</c:v>
                </c:pt>
                <c:pt idx="18">
                  <c:v>0.12726898106729845</c:v>
                </c:pt>
                <c:pt idx="19">
                  <c:v>-1.9815426505782163E-2</c:v>
                </c:pt>
                <c:pt idx="20">
                  <c:v>-0.25774608581517733</c:v>
                </c:pt>
                <c:pt idx="21">
                  <c:v>-0.50000275711201603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D-42B3-B55F-A9C77E97E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807824"/>
        <c:axId val="1490802064"/>
      </c:scatterChart>
      <c:valAx>
        <c:axId val="149080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02064"/>
        <c:crosses val="autoZero"/>
        <c:crossBetween val="midCat"/>
      </c:valAx>
      <c:valAx>
        <c:axId val="14908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0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Лист6!$R$1:$R$36</c:f>
              <c:numCache>
                <c:formatCode>General</c:formatCode>
                <c:ptCount val="36"/>
                <c:pt idx="0">
                  <c:v>-145</c:v>
                </c:pt>
                <c:pt idx="1">
                  <c:v>-141.93617698551648</c:v>
                </c:pt>
                <c:pt idx="2">
                  <c:v>-139.40951774629954</c:v>
                </c:pt>
                <c:pt idx="3">
                  <c:v>-137.22107273595415</c:v>
                </c:pt>
                <c:pt idx="4">
                  <c:v>-136.14873468088493</c:v>
                </c:pt>
                <c:pt idx="5">
                  <c:v>-133.87872035651759</c:v>
                </c:pt>
                <c:pt idx="6">
                  <c:v>-131.73006525545122</c:v>
                </c:pt>
                <c:pt idx="7">
                  <c:v>-126.11968804711125</c:v>
                </c:pt>
                <c:pt idx="8">
                  <c:v>-113.74502626134014</c:v>
                </c:pt>
                <c:pt idx="9">
                  <c:v>-95.202928537322933</c:v>
                </c:pt>
                <c:pt idx="10">
                  <c:v>-42.799618016870923</c:v>
                </c:pt>
                <c:pt idx="11">
                  <c:v>144.98885882540185</c:v>
                </c:pt>
                <c:pt idx="12">
                  <c:v>145.04857142857142</c:v>
                </c:pt>
                <c:pt idx="13">
                  <c:v>141.98474841408787</c:v>
                </c:pt>
                <c:pt idx="14">
                  <c:v>139.45808917487096</c:v>
                </c:pt>
                <c:pt idx="15">
                  <c:v>137.26964416452557</c:v>
                </c:pt>
                <c:pt idx="16">
                  <c:v>136.19531661399239</c:v>
                </c:pt>
                <c:pt idx="17">
                  <c:v>133.91137582137739</c:v>
                </c:pt>
                <c:pt idx="18">
                  <c:v>131.76272072031105</c:v>
                </c:pt>
                <c:pt idx="19">
                  <c:v>126.14438553011529</c:v>
                </c:pt>
                <c:pt idx="20">
                  <c:v>113.76574475341623</c:v>
                </c:pt>
                <c:pt idx="21">
                  <c:v>95.22563652486302</c:v>
                </c:pt>
                <c:pt idx="22">
                  <c:v>42.788504581523839</c:v>
                </c:pt>
                <c:pt idx="23">
                  <c:v>-144.99997226074893</c:v>
                </c:pt>
                <c:pt idx="24">
                  <c:v>0</c:v>
                </c:pt>
                <c:pt idx="25">
                  <c:v>1.5219640299220119</c:v>
                </c:pt>
                <c:pt idx="26">
                  <c:v>2.7952411268502302</c:v>
                </c:pt>
                <c:pt idx="27">
                  <c:v>3.8894636320229194</c:v>
                </c:pt>
                <c:pt idx="28">
                  <c:v>4.4266274072895104</c:v>
                </c:pt>
                <c:pt idx="29">
                  <c:v>5.5606398217412059</c:v>
                </c:pt>
                <c:pt idx="30">
                  <c:v>6.6349673722743905</c:v>
                </c:pt>
                <c:pt idx="31">
                  <c:v>9.4401559764443732</c:v>
                </c:pt>
                <c:pt idx="32">
                  <c:v>15.637434346649686</c:v>
                </c:pt>
                <c:pt idx="33">
                  <c:v>24.908483208658286</c:v>
                </c:pt>
                <c:pt idx="34">
                  <c:v>51.120085946204043</c:v>
                </c:pt>
                <c:pt idx="35">
                  <c:v>144.99442941270092</c:v>
                </c:pt>
              </c:numCache>
            </c:numRef>
          </c:xVal>
          <c:yVal>
            <c:numRef>
              <c:f>Лист6!$S$1:$S$36</c:f>
              <c:numCache>
                <c:formatCode>General</c:formatCode>
                <c:ptCount val="36"/>
                <c:pt idx="0">
                  <c:v>-1.85</c:v>
                </c:pt>
                <c:pt idx="1">
                  <c:v>-1.8019812669393767</c:v>
                </c:pt>
                <c:pt idx="2">
                  <c:v>-1.7539625338787532</c:v>
                </c:pt>
                <c:pt idx="3">
                  <c:v>-1.70594380081813</c:v>
                </c:pt>
                <c:pt idx="4">
                  <c:v>-1.6739313121110475</c:v>
                </c:pt>
                <c:pt idx="5">
                  <c:v>-1.6099063346968832</c:v>
                </c:pt>
                <c:pt idx="6">
                  <c:v>-1.5618876016362597</c:v>
                </c:pt>
                <c:pt idx="7">
                  <c:v>-1.3378001806866839</c:v>
                </c:pt>
                <c:pt idx="8">
                  <c:v>-0.82560036137336779</c:v>
                </c:pt>
                <c:pt idx="9">
                  <c:v>-0.20135683158526374</c:v>
                </c:pt>
                <c:pt idx="10">
                  <c:v>0.79103031833428639</c:v>
                </c:pt>
                <c:pt idx="11">
                  <c:v>1.7353987351932127</c:v>
                </c:pt>
                <c:pt idx="12">
                  <c:v>1.831426</c:v>
                </c:pt>
                <c:pt idx="13">
                  <c:v>1.5913323346968831</c:v>
                </c:pt>
                <c:pt idx="14">
                  <c:v>1.4792886242220955</c:v>
                </c:pt>
                <c:pt idx="15">
                  <c:v>1.3832511581008486</c:v>
                </c:pt>
                <c:pt idx="16">
                  <c:v>1.3032199363331427</c:v>
                </c:pt>
                <c:pt idx="17">
                  <c:v>1.2071824702118963</c:v>
                </c:pt>
                <c:pt idx="18">
                  <c:v>1.0951387597371083</c:v>
                </c:pt>
                <c:pt idx="19">
                  <c:v>0.87105133878753249</c:v>
                </c:pt>
                <c:pt idx="20">
                  <c:v>0.47089522994900429</c:v>
                </c:pt>
                <c:pt idx="21">
                  <c:v>-7.331707807139401E-2</c:v>
                </c:pt>
                <c:pt idx="22">
                  <c:v>-0.95366051751615621</c:v>
                </c:pt>
                <c:pt idx="23">
                  <c:v>-1.8500102013144595</c:v>
                </c:pt>
                <c:pt idx="24">
                  <c:v>0</c:v>
                </c:pt>
                <c:pt idx="25">
                  <c:v>1.9663690852016125E-2</c:v>
                </c:pt>
                <c:pt idx="26">
                  <c:v>6.144903391255039E-2</c:v>
                </c:pt>
                <c:pt idx="27">
                  <c:v>0.1695993335986391</c:v>
                </c:pt>
                <c:pt idx="28">
                  <c:v>0.22367448344168342</c:v>
                </c:pt>
                <c:pt idx="29">
                  <c:v>0.33428274448427414</c:v>
                </c:pt>
                <c:pt idx="30">
                  <c:v>0.40064770110982856</c:v>
                </c:pt>
                <c:pt idx="31">
                  <c:v>0.55058334385645158</c:v>
                </c:pt>
                <c:pt idx="32">
                  <c:v>0.72509860016809469</c:v>
                </c:pt>
                <c:pt idx="33">
                  <c:v>0.87257628155821543</c:v>
                </c:pt>
                <c:pt idx="34">
                  <c:v>1.0667552287218747</c:v>
                </c:pt>
                <c:pt idx="35">
                  <c:v>1.8370803178496067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96-4B49-948E-524C229A5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815984"/>
        <c:axId val="1490816944"/>
      </c:scatterChart>
      <c:valAx>
        <c:axId val="149081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16944"/>
        <c:crosses val="autoZero"/>
        <c:crossBetween val="midCat"/>
      </c:valAx>
      <c:valAx>
        <c:axId val="14908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081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8</xdr:row>
      <xdr:rowOff>133350</xdr:rowOff>
    </xdr:from>
    <xdr:to>
      <xdr:col>18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394BA8-2A1A-C9B6-A114-E66B0085F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188359</xdr:colOff>
      <xdr:row>18</xdr:row>
      <xdr:rowOff>102374</xdr:rowOff>
    </xdr:from>
    <xdr:to>
      <xdr:col>20</xdr:col>
      <xdr:colOff>485875</xdr:colOff>
      <xdr:row>43</xdr:row>
      <xdr:rowOff>155510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B778F3-2D57-A566-E9BC-5776A4F0B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348209</xdr:colOff>
      <xdr:row>64</xdr:row>
      <xdr:rowOff>119908</xdr:rowOff>
    </xdr:from>
    <xdr:to>
      <xdr:col>21</xdr:col>
      <xdr:colOff>45122</xdr:colOff>
      <xdr:row>79</xdr:row>
      <xdr:rowOff>119909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CF6DCB-E8FF-2D01-2245-45D4CA408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464820</xdr:colOff>
      <xdr:row>51</xdr:row>
      <xdr:rowOff>41910</xdr:rowOff>
    </xdr:from>
    <xdr:to>
      <xdr:col>27</xdr:col>
      <xdr:colOff>160020</xdr:colOff>
      <xdr:row>66</xdr:row>
      <xdr:rowOff>41910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0926589-A594-F6DF-BC08-52F11A8FD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15</xdr:row>
      <xdr:rowOff>57150</xdr:rowOff>
    </xdr:from>
    <xdr:to>
      <xdr:col>16</xdr:col>
      <xdr:colOff>480060</xdr:colOff>
      <xdr:row>30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95C46F-5F9E-C321-95B6-4D6BBFDC6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335280</xdr:colOff>
      <xdr:row>16</xdr:row>
      <xdr:rowOff>41910</xdr:rowOff>
    </xdr:from>
    <xdr:to>
      <xdr:col>25</xdr:col>
      <xdr:colOff>30480</xdr:colOff>
      <xdr:row>31</xdr:row>
      <xdr:rowOff>41910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440919-5543-E83E-C2C5-C1535FAA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1</xdr:row>
      <xdr:rowOff>83820</xdr:rowOff>
    </xdr:from>
    <xdr:to>
      <xdr:col>21</xdr:col>
      <xdr:colOff>525780</xdr:colOff>
      <xdr:row>29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F6D490-13EA-9D06-6B67-7C0F547EA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20052</xdr:colOff>
      <xdr:row>67</xdr:row>
      <xdr:rowOff>34891</xdr:rowOff>
    </xdr:from>
    <xdr:to>
      <xdr:col>11</xdr:col>
      <xdr:colOff>50533</xdr:colOff>
      <xdr:row>89</xdr:row>
      <xdr:rowOff>139164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1727BC1-DACC-DED9-93B9-B58F8D70E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391027</xdr:colOff>
      <xdr:row>7</xdr:row>
      <xdr:rowOff>133351</xdr:rowOff>
    </xdr:from>
    <xdr:to>
      <xdr:col>27</xdr:col>
      <xdr:colOff>340895</xdr:colOff>
      <xdr:row>42</xdr:row>
      <xdr:rowOff>30079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1B09319-7A6C-DC2C-1351-3BC41BB04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83820</xdr:rowOff>
    </xdr:from>
    <xdr:to>
      <xdr:col>11</xdr:col>
      <xdr:colOff>411480</xdr:colOff>
      <xdr:row>54</xdr:row>
      <xdr:rowOff>125730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4E6E81-8D1D-6E0F-439D-C1C98588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167640</xdr:colOff>
      <xdr:row>3</xdr:row>
      <xdr:rowOff>144780</xdr:rowOff>
    </xdr:from>
    <xdr:to>
      <xdr:col>14</xdr:col>
      <xdr:colOff>0</xdr:colOff>
      <xdr:row>30</xdr:row>
      <xdr:rowOff>64770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3A21E0A-6FB9-4759-DA45-ABFDC4EEC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B732-8A9C-4168-A089-A7E5678F5E4E}">
  <dimension ref="A1:O13"/>
  <sheetViews>
    <sheetView workbookViewId="0">
      <selection activeCell="D2" sqref="D2:D13"/>
    </sheetView>
  </sheetViews>
  <sheetFormatPr defaultRowHeight="14.4" x14ac:dyDescent="0.3"/>
  <sheetData>
    <row r="1" spans="1:15" x14ac:dyDescent="0.3">
      <c r="A1" t="s">
        <v>0</v>
      </c>
      <c r="D1" t="s">
        <v>4</v>
      </c>
      <c r="E1" t="s">
        <v>3</v>
      </c>
      <c r="M1" t="s">
        <v>5</v>
      </c>
    </row>
    <row r="2" spans="1:15" x14ac:dyDescent="0.3">
      <c r="A2" t="s">
        <v>1</v>
      </c>
      <c r="C2">
        <v>11</v>
      </c>
      <c r="D2">
        <f>1.4579*1000</f>
        <v>1457.8999999999999</v>
      </c>
      <c r="E2">
        <v>66</v>
      </c>
      <c r="F2">
        <f>E2-E$2</f>
        <v>0</v>
      </c>
      <c r="H2">
        <v>0</v>
      </c>
      <c r="I2">
        <v>0</v>
      </c>
      <c r="J2">
        <v>67</v>
      </c>
      <c r="K2">
        <f>J$2-J2</f>
        <v>0</v>
      </c>
      <c r="M2">
        <v>66</v>
      </c>
      <c r="O2">
        <v>67</v>
      </c>
    </row>
    <row r="3" spans="1:15" x14ac:dyDescent="0.3">
      <c r="C3">
        <v>10</v>
      </c>
      <c r="D3">
        <f>0.514*1000</f>
        <v>514</v>
      </c>
      <c r="E3">
        <v>120</v>
      </c>
      <c r="F3">
        <f t="shared" ref="F3:F13" si="0">E3-E$2</f>
        <v>54</v>
      </c>
      <c r="H3">
        <v>1</v>
      </c>
      <c r="I3">
        <v>15.4</v>
      </c>
      <c r="J3">
        <v>64</v>
      </c>
      <c r="K3">
        <f t="shared" ref="K3:K13" si="1">J$2-J3</f>
        <v>3</v>
      </c>
      <c r="M3">
        <v>122</v>
      </c>
      <c r="O3">
        <v>64</v>
      </c>
    </row>
    <row r="4" spans="1:15" x14ac:dyDescent="0.3">
      <c r="C4">
        <v>9</v>
      </c>
      <c r="D4">
        <v>250.43</v>
      </c>
      <c r="E4">
        <v>121</v>
      </c>
      <c r="F4">
        <f t="shared" si="0"/>
        <v>55</v>
      </c>
      <c r="H4">
        <v>2</v>
      </c>
      <c r="I4">
        <v>28.1</v>
      </c>
      <c r="J4">
        <v>65</v>
      </c>
      <c r="K4">
        <f t="shared" si="1"/>
        <v>2</v>
      </c>
      <c r="M4">
        <v>121</v>
      </c>
      <c r="O4">
        <v>64</v>
      </c>
    </row>
    <row r="5" spans="1:15" x14ac:dyDescent="0.3">
      <c r="C5">
        <v>8</v>
      </c>
      <c r="D5">
        <v>157.24</v>
      </c>
      <c r="E5">
        <v>101</v>
      </c>
      <c r="F5">
        <f t="shared" si="0"/>
        <v>35</v>
      </c>
      <c r="H5">
        <v>3</v>
      </c>
      <c r="I5">
        <v>39.1</v>
      </c>
      <c r="J5">
        <v>64</v>
      </c>
      <c r="K5">
        <f t="shared" si="1"/>
        <v>3</v>
      </c>
      <c r="M5">
        <v>100</v>
      </c>
      <c r="O5">
        <v>64</v>
      </c>
    </row>
    <row r="6" spans="1:15" x14ac:dyDescent="0.3">
      <c r="C6">
        <v>7</v>
      </c>
      <c r="D6">
        <v>95.02</v>
      </c>
      <c r="E6">
        <v>91</v>
      </c>
      <c r="F6">
        <f t="shared" si="0"/>
        <v>25</v>
      </c>
      <c r="H6">
        <v>4</v>
      </c>
      <c r="I6">
        <v>44.49</v>
      </c>
      <c r="J6">
        <v>63</v>
      </c>
      <c r="K6">
        <f t="shared" si="1"/>
        <v>4</v>
      </c>
      <c r="M6">
        <v>91</v>
      </c>
      <c r="O6">
        <v>65</v>
      </c>
    </row>
    <row r="7" spans="1:15" x14ac:dyDescent="0.3">
      <c r="C7">
        <v>6</v>
      </c>
      <c r="D7">
        <v>66.78</v>
      </c>
      <c r="E7">
        <v>76</v>
      </c>
      <c r="F7">
        <f t="shared" si="0"/>
        <v>10</v>
      </c>
      <c r="H7">
        <v>5</v>
      </c>
      <c r="I7">
        <v>55.9</v>
      </c>
      <c r="J7">
        <v>63</v>
      </c>
      <c r="K7">
        <f t="shared" si="1"/>
        <v>4</v>
      </c>
      <c r="M7">
        <v>80</v>
      </c>
      <c r="O7">
        <v>63</v>
      </c>
    </row>
    <row r="8" spans="1:15" x14ac:dyDescent="0.3">
      <c r="C8">
        <v>5</v>
      </c>
      <c r="D8">
        <v>55.98</v>
      </c>
      <c r="E8">
        <v>74</v>
      </c>
      <c r="F8">
        <f t="shared" si="0"/>
        <v>8</v>
      </c>
      <c r="H8">
        <v>6</v>
      </c>
      <c r="I8">
        <v>66.7</v>
      </c>
      <c r="J8">
        <v>64</v>
      </c>
      <c r="K8">
        <f t="shared" si="1"/>
        <v>3</v>
      </c>
      <c r="M8">
        <v>73</v>
      </c>
      <c r="O8">
        <v>64</v>
      </c>
    </row>
    <row r="9" spans="1:15" x14ac:dyDescent="0.3">
      <c r="C9">
        <v>4</v>
      </c>
      <c r="D9">
        <v>44.5</v>
      </c>
      <c r="E9">
        <v>72</v>
      </c>
      <c r="F9">
        <f t="shared" si="0"/>
        <v>6</v>
      </c>
      <c r="H9">
        <v>7</v>
      </c>
      <c r="I9">
        <v>94.9</v>
      </c>
      <c r="J9">
        <v>55</v>
      </c>
      <c r="K9">
        <f t="shared" si="1"/>
        <v>12</v>
      </c>
      <c r="M9">
        <v>72</v>
      </c>
      <c r="O9">
        <v>53</v>
      </c>
    </row>
    <row r="10" spans="1:15" x14ac:dyDescent="0.3">
      <c r="C10">
        <v>3</v>
      </c>
      <c r="D10">
        <v>39.1</v>
      </c>
      <c r="E10">
        <v>72</v>
      </c>
      <c r="F10">
        <f t="shared" si="0"/>
        <v>6</v>
      </c>
      <c r="H10">
        <v>8</v>
      </c>
      <c r="I10">
        <v>157.1</v>
      </c>
      <c r="J10">
        <v>41</v>
      </c>
      <c r="K10">
        <f t="shared" si="1"/>
        <v>26</v>
      </c>
      <c r="M10">
        <v>71</v>
      </c>
      <c r="O10">
        <v>35</v>
      </c>
    </row>
    <row r="11" spans="1:15" x14ac:dyDescent="0.3">
      <c r="C11">
        <v>2</v>
      </c>
      <c r="D11">
        <v>28.1</v>
      </c>
      <c r="E11">
        <v>72</v>
      </c>
      <c r="F11">
        <f t="shared" si="0"/>
        <v>6</v>
      </c>
      <c r="H11">
        <v>9</v>
      </c>
      <c r="I11">
        <v>250.3</v>
      </c>
      <c r="J11">
        <v>34</v>
      </c>
      <c r="K11">
        <f t="shared" si="1"/>
        <v>33</v>
      </c>
      <c r="M11">
        <v>72</v>
      </c>
      <c r="O11">
        <v>28</v>
      </c>
    </row>
    <row r="12" spans="1:15" x14ac:dyDescent="0.3">
      <c r="C12">
        <v>1</v>
      </c>
      <c r="D12">
        <v>15.4</v>
      </c>
      <c r="E12">
        <v>74</v>
      </c>
      <c r="F12">
        <f t="shared" si="0"/>
        <v>8</v>
      </c>
      <c r="H12">
        <v>10</v>
      </c>
      <c r="I12">
        <v>513.70000000000005</v>
      </c>
      <c r="J12">
        <v>15</v>
      </c>
      <c r="K12">
        <f t="shared" si="1"/>
        <v>52</v>
      </c>
      <c r="M12">
        <v>73</v>
      </c>
      <c r="O12">
        <v>5</v>
      </c>
    </row>
    <row r="13" spans="1:15" x14ac:dyDescent="0.3">
      <c r="C13">
        <v>0</v>
      </c>
      <c r="D13">
        <v>0</v>
      </c>
      <c r="E13">
        <v>79</v>
      </c>
      <c r="F13">
        <f t="shared" si="0"/>
        <v>13</v>
      </c>
      <c r="H13">
        <v>11</v>
      </c>
      <c r="I13">
        <v>1457.6</v>
      </c>
      <c r="J13">
        <v>16</v>
      </c>
      <c r="K13">
        <f t="shared" si="1"/>
        <v>51</v>
      </c>
      <c r="M13">
        <v>81</v>
      </c>
      <c r="O1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C038-BF36-4B8F-9C21-4AA380774173}">
  <dimension ref="A1:I5"/>
  <sheetViews>
    <sheetView topLeftCell="J1" workbookViewId="0">
      <selection activeCell="F1" sqref="F1:I4"/>
    </sheetView>
  </sheetViews>
  <sheetFormatPr defaultRowHeight="14.4" x14ac:dyDescent="0.3"/>
  <sheetData>
    <row r="1" spans="1:9" x14ac:dyDescent="0.3">
      <c r="A1" t="s">
        <v>6</v>
      </c>
      <c r="G1" t="s">
        <v>19</v>
      </c>
      <c r="H1" t="s">
        <v>20</v>
      </c>
    </row>
    <row r="2" spans="1:9" x14ac:dyDescent="0.3">
      <c r="A2" t="s">
        <v>7</v>
      </c>
      <c r="F2" t="s">
        <v>21</v>
      </c>
      <c r="G2">
        <v>1</v>
      </c>
      <c r="H2">
        <v>1</v>
      </c>
      <c r="I2">
        <v>1</v>
      </c>
    </row>
    <row r="3" spans="1:9" x14ac:dyDescent="0.3">
      <c r="F3" t="s">
        <v>22</v>
      </c>
      <c r="G3">
        <v>1</v>
      </c>
      <c r="H3">
        <v>1</v>
      </c>
      <c r="I3">
        <v>1</v>
      </c>
    </row>
    <row r="4" spans="1:9" x14ac:dyDescent="0.3">
      <c r="A4" t="s">
        <v>8</v>
      </c>
      <c r="F4" t="s">
        <v>23</v>
      </c>
      <c r="G4">
        <v>1</v>
      </c>
      <c r="H4">
        <v>1</v>
      </c>
      <c r="I4">
        <v>1</v>
      </c>
    </row>
    <row r="5" spans="1:9" x14ac:dyDescent="0.3">
      <c r="A5">
        <f>67-98</f>
        <v>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EE41-8508-4BFF-80ED-F04A42A2BE78}">
  <dimension ref="A1:U13"/>
  <sheetViews>
    <sheetView topLeftCell="D1" workbookViewId="0">
      <selection activeCell="T12" sqref="T12:U13"/>
    </sheetView>
  </sheetViews>
  <sheetFormatPr defaultRowHeight="14.4" x14ac:dyDescent="0.3"/>
  <sheetData>
    <row r="1" spans="1:21" x14ac:dyDescent="0.3">
      <c r="B1" t="s">
        <v>2</v>
      </c>
      <c r="C1" t="s">
        <v>3</v>
      </c>
      <c r="E1" t="s">
        <v>9</v>
      </c>
      <c r="H1" t="s">
        <v>2</v>
      </c>
      <c r="I1" t="s">
        <v>9</v>
      </c>
      <c r="J1" t="s">
        <v>11</v>
      </c>
      <c r="K1" t="s">
        <v>12</v>
      </c>
      <c r="P1" t="s">
        <v>16</v>
      </c>
      <c r="T1" t="s">
        <v>11</v>
      </c>
      <c r="U1" t="s">
        <v>17</v>
      </c>
    </row>
    <row r="2" spans="1:21" x14ac:dyDescent="0.3">
      <c r="A2">
        <v>0</v>
      </c>
      <c r="B2">
        <v>0</v>
      </c>
      <c r="C2">
        <v>67</v>
      </c>
      <c r="E2">
        <f>C2-C$2</f>
        <v>0</v>
      </c>
      <c r="H2">
        <v>0</v>
      </c>
      <c r="I2">
        <v>0</v>
      </c>
      <c r="J2" s="2">
        <f>H2/1000*1750/3.1415/0.1</f>
        <v>0</v>
      </c>
      <c r="K2" s="1">
        <f>I2/31*1.4565*435*825/300/0.8*(0.07)^2/(0.01)^2*1.25664/1000000</f>
        <v>0</v>
      </c>
      <c r="L2">
        <f>E2/31*1.4565*1.25664/1000000*(0.07/0.01)^2*825*435/0.8/300</f>
        <v>0</v>
      </c>
      <c r="P2">
        <f>I2/2</f>
        <v>0</v>
      </c>
      <c r="Q2">
        <f>P2/31*1.4565*1.25664/1000000*(0.07/0.01)^2*825*435/0.8/300</f>
        <v>0</v>
      </c>
      <c r="T2">
        <v>0</v>
      </c>
      <c r="U2" s="1">
        <f>K2</f>
        <v>0</v>
      </c>
    </row>
    <row r="3" spans="1:21" x14ac:dyDescent="0.3">
      <c r="A3">
        <v>1</v>
      </c>
      <c r="B3">
        <v>15.3</v>
      </c>
      <c r="C3">
        <v>75</v>
      </c>
      <c r="E3">
        <f t="shared" ref="E3:E13" si="0">C3-C$2</f>
        <v>8</v>
      </c>
      <c r="H3">
        <v>15.3</v>
      </c>
      <c r="I3">
        <v>8</v>
      </c>
      <c r="J3" s="2">
        <f t="shared" ref="J3:J13" si="1">H3/1000*1750/3.1415/0.1</f>
        <v>85.229985675632662</v>
      </c>
      <c r="K3" s="1">
        <f>I3/31*1.4565*435*825/300/0.8*(0.07)^2/(0.01)^2*1.25664/1000000</f>
        <v>3.4608095899548386E-2</v>
      </c>
      <c r="L3">
        <f>E3/31*1.4565*1.25664/1000000*(0.07/0.01)^2*825*435/0.8/300</f>
        <v>3.4608095899548393E-2</v>
      </c>
      <c r="P3">
        <f t="shared" ref="P3:P13" si="2">I3/2</f>
        <v>4</v>
      </c>
      <c r="Q3">
        <f>P3/31*1.4565*1.25664/1000000*(0.07/0.01)^2*825*435/0.8/300</f>
        <v>1.7304047949774196E-2</v>
      </c>
      <c r="T3">
        <v>85.229985675632662</v>
      </c>
      <c r="U3" s="1">
        <f>K3+U2</f>
        <v>3.4608095899548386E-2</v>
      </c>
    </row>
    <row r="4" spans="1:21" x14ac:dyDescent="0.3">
      <c r="A4">
        <v>2</v>
      </c>
      <c r="B4">
        <v>28.1</v>
      </c>
      <c r="C4">
        <v>84</v>
      </c>
      <c r="E4">
        <f t="shared" si="0"/>
        <v>17</v>
      </c>
      <c r="H4">
        <v>28.1</v>
      </c>
      <c r="I4">
        <v>17</v>
      </c>
      <c r="J4" s="2">
        <f t="shared" si="1"/>
        <v>156.5335031036129</v>
      </c>
      <c r="K4" s="1">
        <f>I4/31*1.4565*435*825/300/0.8*(0.07)^2/(0.01)^2*1.25664/1000000</f>
        <v>7.3542203786540306E-2</v>
      </c>
      <c r="L4">
        <f t="shared" ref="L4:L13" si="3">E4/31*1.4565*1.25664/1000000*(0.07/0.01)^2*825*435/0.8/300</f>
        <v>7.3542203786540333E-2</v>
      </c>
      <c r="P4">
        <f t="shared" si="2"/>
        <v>8.5</v>
      </c>
      <c r="Q4">
        <f t="shared" ref="Q4:Q13" si="4">P4/31*1.4565*1.25664/1000000*(0.07/0.01)^2*825*435/0.8/300</f>
        <v>3.6771101893270167E-2</v>
      </c>
      <c r="T4">
        <v>156.5335031036129</v>
      </c>
      <c r="U4" s="1">
        <f t="shared" ref="U4:U13" si="5">K4+U3</f>
        <v>0.10815029968608869</v>
      </c>
    </row>
    <row r="5" spans="1:21" x14ac:dyDescent="0.3">
      <c r="A5">
        <v>3</v>
      </c>
      <c r="B5">
        <v>39.1</v>
      </c>
      <c r="C5">
        <v>111</v>
      </c>
      <c r="E5">
        <f t="shared" si="0"/>
        <v>44</v>
      </c>
      <c r="H5">
        <v>39.1</v>
      </c>
      <c r="I5">
        <v>44</v>
      </c>
      <c r="J5" s="2">
        <f t="shared" si="1"/>
        <v>217.80996339328348</v>
      </c>
      <c r="K5" s="1">
        <f>I5/31*1.4565*435*825/300/0.8*(0.07)^2/(0.01)^2*1.25664/1000000</f>
        <v>0.19034452744751612</v>
      </c>
      <c r="L5">
        <f t="shared" si="3"/>
        <v>0.19034452744751615</v>
      </c>
      <c r="P5">
        <f t="shared" si="2"/>
        <v>22</v>
      </c>
      <c r="Q5">
        <f t="shared" si="4"/>
        <v>9.5172263723758074E-2</v>
      </c>
      <c r="T5">
        <v>217.80996339328348</v>
      </c>
      <c r="U5" s="1">
        <f t="shared" si="5"/>
        <v>0.29849482713360481</v>
      </c>
    </row>
    <row r="6" spans="1:21" x14ac:dyDescent="0.3">
      <c r="A6">
        <v>4</v>
      </c>
      <c r="B6">
        <v>44.5</v>
      </c>
      <c r="C6">
        <v>89</v>
      </c>
      <c r="E6">
        <f t="shared" si="0"/>
        <v>22</v>
      </c>
      <c r="H6">
        <v>44.5</v>
      </c>
      <c r="I6">
        <v>22</v>
      </c>
      <c r="J6" s="2">
        <f t="shared" si="1"/>
        <v>247.8911348082126</v>
      </c>
      <c r="K6" s="1">
        <f t="shared" ref="K6:K13" si="6">I6/31*1.4565*435*825/300/0.8*(0.07)^2/(0.01)^2*1.25664/1000000</f>
        <v>9.517226372375806E-2</v>
      </c>
      <c r="L6">
        <f t="shared" si="3"/>
        <v>9.5172263723758074E-2</v>
      </c>
      <c r="P6">
        <f t="shared" si="2"/>
        <v>11</v>
      </c>
      <c r="Q6">
        <f t="shared" si="4"/>
        <v>4.7586131861879037E-2</v>
      </c>
      <c r="T6">
        <v>247.8911348082126</v>
      </c>
      <c r="U6" s="1">
        <f t="shared" si="5"/>
        <v>0.39366709085736284</v>
      </c>
    </row>
    <row r="7" spans="1:21" x14ac:dyDescent="0.3">
      <c r="A7">
        <v>5</v>
      </c>
      <c r="B7">
        <v>55.9</v>
      </c>
      <c r="C7">
        <v>112</v>
      </c>
      <c r="E7">
        <f t="shared" si="0"/>
        <v>45</v>
      </c>
      <c r="H7">
        <v>55.9</v>
      </c>
      <c r="I7">
        <v>45</v>
      </c>
      <c r="J7" s="2">
        <f t="shared" si="1"/>
        <v>311.39583001750754</v>
      </c>
      <c r="K7" s="1">
        <f t="shared" si="6"/>
        <v>0.19467053943495974</v>
      </c>
      <c r="L7">
        <f t="shared" si="3"/>
        <v>0.19467053943495977</v>
      </c>
      <c r="P7">
        <f t="shared" si="2"/>
        <v>22.5</v>
      </c>
      <c r="Q7">
        <f t="shared" si="4"/>
        <v>9.7335269717479883E-2</v>
      </c>
      <c r="T7">
        <v>311.39583001750754</v>
      </c>
      <c r="U7" s="1">
        <f t="shared" si="5"/>
        <v>0.58833763029232256</v>
      </c>
    </row>
    <row r="8" spans="1:21" x14ac:dyDescent="0.3">
      <c r="A8">
        <v>6</v>
      </c>
      <c r="B8">
        <v>66.7</v>
      </c>
      <c r="C8">
        <v>94</v>
      </c>
      <c r="E8">
        <f t="shared" si="0"/>
        <v>27</v>
      </c>
      <c r="H8">
        <v>66.7</v>
      </c>
      <c r="I8">
        <v>27</v>
      </c>
      <c r="J8" s="2">
        <f t="shared" si="1"/>
        <v>371.55817284736588</v>
      </c>
      <c r="K8" s="1">
        <f t="shared" si="6"/>
        <v>0.11680232366097582</v>
      </c>
      <c r="L8">
        <f t="shared" si="3"/>
        <v>0.1168023236609758</v>
      </c>
      <c r="P8">
        <f t="shared" si="2"/>
        <v>13.5</v>
      </c>
      <c r="Q8">
        <f t="shared" si="4"/>
        <v>5.8401161830487901E-2</v>
      </c>
      <c r="T8">
        <v>371.55817284736588</v>
      </c>
      <c r="U8" s="1">
        <f t="shared" si="5"/>
        <v>0.70513995395329832</v>
      </c>
    </row>
    <row r="9" spans="1:21" x14ac:dyDescent="0.3">
      <c r="A9">
        <v>7</v>
      </c>
      <c r="B9">
        <v>94.9</v>
      </c>
      <c r="C9">
        <v>128</v>
      </c>
      <c r="E9">
        <f t="shared" si="0"/>
        <v>61</v>
      </c>
      <c r="H9">
        <v>94.9</v>
      </c>
      <c r="I9">
        <v>61</v>
      </c>
      <c r="J9" s="2">
        <f t="shared" si="1"/>
        <v>528.6487346808849</v>
      </c>
      <c r="K9" s="1">
        <f t="shared" si="6"/>
        <v>0.26388673123405648</v>
      </c>
      <c r="L9">
        <f t="shared" si="3"/>
        <v>0.26388673123405654</v>
      </c>
      <c r="P9">
        <f t="shared" si="2"/>
        <v>30.5</v>
      </c>
      <c r="Q9">
        <f t="shared" si="4"/>
        <v>0.13194336561702827</v>
      </c>
      <c r="T9">
        <v>528.6487346808849</v>
      </c>
      <c r="U9" s="1">
        <f t="shared" si="5"/>
        <v>0.9690266851873548</v>
      </c>
    </row>
    <row r="10" spans="1:21" x14ac:dyDescent="0.3">
      <c r="A10">
        <v>8</v>
      </c>
      <c r="B10">
        <v>157.19999999999999</v>
      </c>
      <c r="C10">
        <v>138</v>
      </c>
      <c r="E10">
        <f t="shared" si="0"/>
        <v>71</v>
      </c>
      <c r="H10">
        <v>157.19999999999999</v>
      </c>
      <c r="I10">
        <v>71</v>
      </c>
      <c r="J10" s="2">
        <f t="shared" si="1"/>
        <v>875.69632341238241</v>
      </c>
      <c r="K10" s="1">
        <f t="shared" si="6"/>
        <v>0.30714685110849188</v>
      </c>
      <c r="L10">
        <f t="shared" si="3"/>
        <v>0.30714685110849199</v>
      </c>
      <c r="P10">
        <f t="shared" si="2"/>
        <v>35.5</v>
      </c>
      <c r="Q10">
        <f t="shared" si="4"/>
        <v>0.153573425554246</v>
      </c>
      <c r="T10">
        <v>875.69632341238241</v>
      </c>
      <c r="U10" s="1">
        <f t="shared" si="5"/>
        <v>1.2761735362958466</v>
      </c>
    </row>
    <row r="11" spans="1:21" x14ac:dyDescent="0.3">
      <c r="A11">
        <v>9</v>
      </c>
      <c r="B11">
        <v>250.4</v>
      </c>
      <c r="C11">
        <v>127</v>
      </c>
      <c r="E11">
        <f t="shared" si="0"/>
        <v>60</v>
      </c>
      <c r="H11">
        <v>250.4</v>
      </c>
      <c r="I11">
        <v>60</v>
      </c>
      <c r="J11" s="2">
        <f t="shared" si="1"/>
        <v>1394.875059684864</v>
      </c>
      <c r="K11" s="1">
        <f t="shared" si="6"/>
        <v>0.25956071924661284</v>
      </c>
      <c r="L11">
        <f t="shared" si="3"/>
        <v>0.25956071924661295</v>
      </c>
      <c r="P11">
        <f t="shared" si="2"/>
        <v>30</v>
      </c>
      <c r="Q11">
        <f t="shared" si="4"/>
        <v>0.12978035962330647</v>
      </c>
      <c r="T11">
        <v>1394.875059684864</v>
      </c>
      <c r="U11" s="1">
        <f t="shared" si="5"/>
        <v>1.5357342555424593</v>
      </c>
    </row>
    <row r="12" spans="1:21" x14ac:dyDescent="0.3">
      <c r="A12">
        <v>10</v>
      </c>
      <c r="B12">
        <v>513.9</v>
      </c>
      <c r="C12">
        <v>146</v>
      </c>
      <c r="E12">
        <f t="shared" si="0"/>
        <v>79</v>
      </c>
      <c r="H12">
        <v>513.9</v>
      </c>
      <c r="I12">
        <v>79</v>
      </c>
      <c r="J12" s="2">
        <f t="shared" si="1"/>
        <v>2862.7248129874265</v>
      </c>
      <c r="K12" s="1">
        <f t="shared" si="6"/>
        <v>0.34175494700804027</v>
      </c>
      <c r="L12">
        <f t="shared" si="3"/>
        <v>0.34175494700804038</v>
      </c>
      <c r="P12">
        <f t="shared" si="2"/>
        <v>39.5</v>
      </c>
      <c r="Q12">
        <f t="shared" si="4"/>
        <v>0.17087747350402019</v>
      </c>
      <c r="T12">
        <v>2862.7248129874265</v>
      </c>
      <c r="U12" s="1">
        <f t="shared" si="5"/>
        <v>1.8774892025504997</v>
      </c>
    </row>
    <row r="13" spans="1:21" x14ac:dyDescent="0.3">
      <c r="A13">
        <v>11</v>
      </c>
      <c r="B13">
        <v>1457.6</v>
      </c>
      <c r="C13">
        <v>138</v>
      </c>
      <c r="E13">
        <f t="shared" si="0"/>
        <v>71</v>
      </c>
      <c r="H13">
        <v>1457.6</v>
      </c>
      <c r="I13">
        <v>71</v>
      </c>
      <c r="J13" s="2">
        <f t="shared" si="1"/>
        <v>8119.6880471112518</v>
      </c>
      <c r="K13" s="1">
        <f t="shared" si="6"/>
        <v>0.30714685110849188</v>
      </c>
      <c r="L13">
        <f t="shared" si="3"/>
        <v>0.30714685110849199</v>
      </c>
      <c r="P13">
        <f t="shared" si="2"/>
        <v>35.5</v>
      </c>
      <c r="Q13">
        <f t="shared" si="4"/>
        <v>0.153573425554246</v>
      </c>
      <c r="T13">
        <v>8119.6880471112518</v>
      </c>
      <c r="U13" s="1">
        <f t="shared" si="5"/>
        <v>2.1846360536589917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1909-0D56-4E3C-8F08-0BF6A7B957F1}">
  <dimension ref="A1:Z62"/>
  <sheetViews>
    <sheetView topLeftCell="A7" zoomScale="89" workbookViewId="0">
      <selection activeCell="F15" sqref="F15:G38"/>
    </sheetView>
  </sheetViews>
  <sheetFormatPr defaultRowHeight="14.4" x14ac:dyDescent="0.3"/>
  <sheetData>
    <row r="1" spans="1:21" x14ac:dyDescent="0.3">
      <c r="A1" t="s">
        <v>0</v>
      </c>
      <c r="D1" t="s">
        <v>4</v>
      </c>
      <c r="E1" t="s">
        <v>3</v>
      </c>
      <c r="F1" t="s">
        <v>9</v>
      </c>
      <c r="J1" t="s">
        <v>4</v>
      </c>
      <c r="K1" t="s">
        <v>3</v>
      </c>
      <c r="L1" t="s">
        <v>9</v>
      </c>
      <c r="O1" t="s">
        <v>5</v>
      </c>
      <c r="P1" t="s">
        <v>9</v>
      </c>
      <c r="S1" t="s">
        <v>3</v>
      </c>
      <c r="U1" t="s">
        <v>9</v>
      </c>
    </row>
    <row r="2" spans="1:21" x14ac:dyDescent="0.3">
      <c r="A2" t="s">
        <v>1</v>
      </c>
      <c r="C2">
        <v>11</v>
      </c>
      <c r="D2">
        <f>1.4579*1000</f>
        <v>1457.8999999999999</v>
      </c>
      <c r="E2">
        <v>66</v>
      </c>
      <c r="F2">
        <f>E2-E$2</f>
        <v>0</v>
      </c>
      <c r="G2">
        <f>1.4579*1000</f>
        <v>1457.8999999999999</v>
      </c>
      <c r="I2">
        <v>0</v>
      </c>
      <c r="J2">
        <v>0</v>
      </c>
      <c r="K2">
        <v>67</v>
      </c>
      <c r="L2">
        <f>-K$2+K2</f>
        <v>0</v>
      </c>
      <c r="M2">
        <v>0</v>
      </c>
      <c r="O2">
        <v>66</v>
      </c>
      <c r="P2">
        <f>O2-O$2</f>
        <v>0</v>
      </c>
      <c r="S2">
        <v>67</v>
      </c>
      <c r="T2">
        <v>0</v>
      </c>
      <c r="U2">
        <f>-S$2+S2</f>
        <v>0</v>
      </c>
    </row>
    <row r="3" spans="1:21" x14ac:dyDescent="0.3">
      <c r="C3">
        <v>10</v>
      </c>
      <c r="D3">
        <f>0.514*1000</f>
        <v>514</v>
      </c>
      <c r="E3">
        <v>120</v>
      </c>
      <c r="F3">
        <f t="shared" ref="F3:F13" si="0">E3-E$2</f>
        <v>54</v>
      </c>
      <c r="G3">
        <f>0.514*1000</f>
        <v>514</v>
      </c>
      <c r="I3">
        <v>1</v>
      </c>
      <c r="J3">
        <v>15.4</v>
      </c>
      <c r="K3">
        <v>64</v>
      </c>
      <c r="L3">
        <f t="shared" ref="L3:L13" si="1">-K$2+K3</f>
        <v>-3</v>
      </c>
      <c r="M3">
        <v>15.4</v>
      </c>
      <c r="O3">
        <v>122</v>
      </c>
      <c r="P3">
        <f t="shared" ref="P3:P13" si="2">O3-O$2</f>
        <v>56</v>
      </c>
      <c r="S3">
        <v>64</v>
      </c>
      <c r="T3">
        <v>15.4</v>
      </c>
      <c r="U3">
        <f t="shared" ref="U3:U13" si="3">-S$2+S3</f>
        <v>-3</v>
      </c>
    </row>
    <row r="4" spans="1:21" x14ac:dyDescent="0.3">
      <c r="C4">
        <v>9</v>
      </c>
      <c r="D4">
        <v>250.43</v>
      </c>
      <c r="E4">
        <v>121</v>
      </c>
      <c r="F4">
        <f t="shared" si="0"/>
        <v>55</v>
      </c>
      <c r="G4">
        <v>250.43</v>
      </c>
      <c r="I4">
        <v>2</v>
      </c>
      <c r="J4">
        <v>28.1</v>
      </c>
      <c r="K4">
        <v>65</v>
      </c>
      <c r="L4">
        <f t="shared" si="1"/>
        <v>-2</v>
      </c>
      <c r="M4">
        <v>28.1</v>
      </c>
      <c r="O4">
        <v>121</v>
      </c>
      <c r="P4">
        <f t="shared" si="2"/>
        <v>55</v>
      </c>
      <c r="S4">
        <v>64</v>
      </c>
      <c r="T4">
        <v>28.1</v>
      </c>
      <c r="U4">
        <f t="shared" si="3"/>
        <v>-3</v>
      </c>
    </row>
    <row r="5" spans="1:21" x14ac:dyDescent="0.3">
      <c r="C5">
        <v>8</v>
      </c>
      <c r="D5">
        <v>157.24</v>
      </c>
      <c r="E5">
        <v>101</v>
      </c>
      <c r="F5">
        <f t="shared" si="0"/>
        <v>35</v>
      </c>
      <c r="G5">
        <v>157.24</v>
      </c>
      <c r="I5">
        <v>3</v>
      </c>
      <c r="J5">
        <v>39.1</v>
      </c>
      <c r="K5">
        <v>64</v>
      </c>
      <c r="L5">
        <f t="shared" si="1"/>
        <v>-3</v>
      </c>
      <c r="M5">
        <v>39.1</v>
      </c>
      <c r="O5">
        <v>100</v>
      </c>
      <c r="P5">
        <f t="shared" si="2"/>
        <v>34</v>
      </c>
      <c r="S5">
        <v>64</v>
      </c>
      <c r="T5">
        <v>39.1</v>
      </c>
      <c r="U5">
        <f t="shared" si="3"/>
        <v>-3</v>
      </c>
    </row>
    <row r="6" spans="1:21" x14ac:dyDescent="0.3">
      <c r="C6">
        <v>7</v>
      </c>
      <c r="D6">
        <v>95.02</v>
      </c>
      <c r="E6">
        <v>91</v>
      </c>
      <c r="F6">
        <f t="shared" si="0"/>
        <v>25</v>
      </c>
      <c r="G6">
        <v>95.02</v>
      </c>
      <c r="I6">
        <v>4</v>
      </c>
      <c r="J6">
        <v>44.49</v>
      </c>
      <c r="K6">
        <v>63</v>
      </c>
      <c r="L6">
        <f t="shared" si="1"/>
        <v>-4</v>
      </c>
      <c r="M6">
        <v>44.49</v>
      </c>
      <c r="O6">
        <v>91</v>
      </c>
      <c r="P6">
        <f t="shared" si="2"/>
        <v>25</v>
      </c>
      <c r="S6">
        <v>65</v>
      </c>
      <c r="T6">
        <v>44.49</v>
      </c>
      <c r="U6">
        <f t="shared" si="3"/>
        <v>-2</v>
      </c>
    </row>
    <row r="7" spans="1:21" x14ac:dyDescent="0.3">
      <c r="C7">
        <v>6</v>
      </c>
      <c r="D7">
        <v>66.78</v>
      </c>
      <c r="E7">
        <v>76</v>
      </c>
      <c r="F7">
        <f t="shared" si="0"/>
        <v>10</v>
      </c>
      <c r="G7">
        <v>66.78</v>
      </c>
      <c r="I7">
        <v>5</v>
      </c>
      <c r="J7">
        <v>55.9</v>
      </c>
      <c r="K7">
        <v>63</v>
      </c>
      <c r="L7">
        <f t="shared" si="1"/>
        <v>-4</v>
      </c>
      <c r="M7">
        <v>55.9</v>
      </c>
      <c r="O7">
        <v>80</v>
      </c>
      <c r="P7">
        <f t="shared" si="2"/>
        <v>14</v>
      </c>
      <c r="S7">
        <v>63</v>
      </c>
      <c r="T7">
        <v>55.9</v>
      </c>
      <c r="U7">
        <f t="shared" si="3"/>
        <v>-4</v>
      </c>
    </row>
    <row r="8" spans="1:21" x14ac:dyDescent="0.3">
      <c r="C8">
        <v>5</v>
      </c>
      <c r="D8">
        <v>55.98</v>
      </c>
      <c r="E8">
        <v>74</v>
      </c>
      <c r="F8">
        <f t="shared" si="0"/>
        <v>8</v>
      </c>
      <c r="G8">
        <v>55.98</v>
      </c>
      <c r="I8">
        <v>6</v>
      </c>
      <c r="J8">
        <v>66.7</v>
      </c>
      <c r="K8">
        <v>64</v>
      </c>
      <c r="L8">
        <f t="shared" si="1"/>
        <v>-3</v>
      </c>
      <c r="M8">
        <v>66.7</v>
      </c>
      <c r="O8">
        <v>73</v>
      </c>
      <c r="P8">
        <f t="shared" si="2"/>
        <v>7</v>
      </c>
      <c r="S8">
        <v>64</v>
      </c>
      <c r="T8">
        <v>66.7</v>
      </c>
      <c r="U8">
        <f t="shared" si="3"/>
        <v>-3</v>
      </c>
    </row>
    <row r="9" spans="1:21" x14ac:dyDescent="0.3">
      <c r="C9">
        <v>4</v>
      </c>
      <c r="D9">
        <v>44.5</v>
      </c>
      <c r="E9">
        <v>72</v>
      </c>
      <c r="F9">
        <f t="shared" si="0"/>
        <v>6</v>
      </c>
      <c r="G9">
        <v>44.5</v>
      </c>
      <c r="I9">
        <v>7</v>
      </c>
      <c r="J9">
        <v>94.9</v>
      </c>
      <c r="K9">
        <v>55</v>
      </c>
      <c r="L9">
        <f t="shared" si="1"/>
        <v>-12</v>
      </c>
      <c r="M9">
        <v>94.9</v>
      </c>
      <c r="O9">
        <v>72</v>
      </c>
      <c r="P9">
        <f t="shared" si="2"/>
        <v>6</v>
      </c>
      <c r="S9">
        <v>53</v>
      </c>
      <c r="T9">
        <v>94.9</v>
      </c>
      <c r="U9">
        <f t="shared" si="3"/>
        <v>-14</v>
      </c>
    </row>
    <row r="10" spans="1:21" x14ac:dyDescent="0.3">
      <c r="C10">
        <v>3</v>
      </c>
      <c r="D10">
        <v>39.1</v>
      </c>
      <c r="E10">
        <v>72</v>
      </c>
      <c r="F10">
        <f t="shared" si="0"/>
        <v>6</v>
      </c>
      <c r="G10">
        <v>39.1</v>
      </c>
      <c r="I10">
        <v>8</v>
      </c>
      <c r="J10">
        <v>157.1</v>
      </c>
      <c r="K10">
        <v>41</v>
      </c>
      <c r="L10">
        <f t="shared" si="1"/>
        <v>-26</v>
      </c>
      <c r="M10">
        <v>157.1</v>
      </c>
      <c r="O10">
        <v>71</v>
      </c>
      <c r="P10">
        <f t="shared" si="2"/>
        <v>5</v>
      </c>
      <c r="S10">
        <v>35</v>
      </c>
      <c r="T10">
        <v>157.1</v>
      </c>
      <c r="U10">
        <f t="shared" si="3"/>
        <v>-32</v>
      </c>
    </row>
    <row r="11" spans="1:21" x14ac:dyDescent="0.3">
      <c r="C11">
        <v>2</v>
      </c>
      <c r="D11">
        <v>28.1</v>
      </c>
      <c r="E11">
        <v>72</v>
      </c>
      <c r="F11">
        <f t="shared" si="0"/>
        <v>6</v>
      </c>
      <c r="G11">
        <v>28.1</v>
      </c>
      <c r="I11">
        <v>9</v>
      </c>
      <c r="J11">
        <v>250.3</v>
      </c>
      <c r="K11">
        <v>34</v>
      </c>
      <c r="L11">
        <f t="shared" si="1"/>
        <v>-33</v>
      </c>
      <c r="M11">
        <v>250.3</v>
      </c>
      <c r="O11">
        <v>72</v>
      </c>
      <c r="P11">
        <f t="shared" si="2"/>
        <v>6</v>
      </c>
      <c r="S11">
        <v>28</v>
      </c>
      <c r="T11">
        <v>250.3</v>
      </c>
      <c r="U11">
        <f t="shared" si="3"/>
        <v>-39</v>
      </c>
    </row>
    <row r="12" spans="1:21" x14ac:dyDescent="0.3">
      <c r="C12">
        <v>1</v>
      </c>
      <c r="D12">
        <v>15.4</v>
      </c>
      <c r="E12">
        <v>74</v>
      </c>
      <c r="F12">
        <f>E12-E$2</f>
        <v>8</v>
      </c>
      <c r="G12">
        <v>15.4</v>
      </c>
      <c r="I12">
        <v>10</v>
      </c>
      <c r="J12">
        <v>513.70000000000005</v>
      </c>
      <c r="K12">
        <v>15</v>
      </c>
      <c r="L12">
        <f t="shared" si="1"/>
        <v>-52</v>
      </c>
      <c r="M12">
        <v>513.70000000000005</v>
      </c>
      <c r="O12">
        <v>73</v>
      </c>
      <c r="P12">
        <f t="shared" si="2"/>
        <v>7</v>
      </c>
      <c r="S12">
        <v>5</v>
      </c>
      <c r="T12">
        <v>513.70000000000005</v>
      </c>
      <c r="U12">
        <f t="shared" si="3"/>
        <v>-62</v>
      </c>
    </row>
    <row r="13" spans="1:21" x14ac:dyDescent="0.3">
      <c r="C13">
        <v>0</v>
      </c>
      <c r="D13">
        <v>0</v>
      </c>
      <c r="E13">
        <v>79</v>
      </c>
      <c r="F13">
        <f t="shared" si="0"/>
        <v>13</v>
      </c>
      <c r="G13">
        <v>0</v>
      </c>
      <c r="I13">
        <v>11</v>
      </c>
      <c r="J13">
        <v>1457.6</v>
      </c>
      <c r="K13">
        <v>16</v>
      </c>
      <c r="L13">
        <f t="shared" si="1"/>
        <v>-51</v>
      </c>
      <c r="M13">
        <v>1457.6</v>
      </c>
      <c r="O13">
        <v>81</v>
      </c>
      <c r="P13">
        <f t="shared" si="2"/>
        <v>15</v>
      </c>
      <c r="S13">
        <v>8</v>
      </c>
      <c r="T13">
        <v>1457.6</v>
      </c>
      <c r="U13">
        <f t="shared" si="3"/>
        <v>-59</v>
      </c>
    </row>
    <row r="15" spans="1:21" x14ac:dyDescent="0.3">
      <c r="F15">
        <v>-8121.3592233009695</v>
      </c>
      <c r="G15">
        <v>-0.994982757112016</v>
      </c>
    </row>
    <row r="16" spans="1:21" x14ac:dyDescent="0.3">
      <c r="F16">
        <v>-2863.2818717173323</v>
      </c>
      <c r="G16">
        <v>-0.7527260858151773</v>
      </c>
    </row>
    <row r="17" spans="6:7" x14ac:dyDescent="0.3">
      <c r="F17">
        <v>-1395.0421773038356</v>
      </c>
      <c r="G17">
        <v>-0.51479542650578214</v>
      </c>
    </row>
    <row r="18" spans="6:7" x14ac:dyDescent="0.3">
      <c r="F18">
        <v>-875.91914690434498</v>
      </c>
      <c r="G18">
        <v>-0.36771101893270153</v>
      </c>
    </row>
    <row r="19" spans="6:7" x14ac:dyDescent="0.3">
      <c r="F19">
        <v>-529.31720515677216</v>
      </c>
      <c r="G19">
        <v>-0.25956071924661284</v>
      </c>
    </row>
    <row r="20" spans="6:7" x14ac:dyDescent="0.3">
      <c r="F20">
        <v>-372.00381983129074</v>
      </c>
      <c r="G20">
        <v>-0.19899655142240316</v>
      </c>
    </row>
    <row r="21" spans="6:7" x14ac:dyDescent="0.3">
      <c r="F21">
        <v>-311.84147700143239</v>
      </c>
      <c r="G21">
        <v>-0.16871446751029834</v>
      </c>
    </row>
    <row r="22" spans="6:7" x14ac:dyDescent="0.3">
      <c r="F22">
        <v>-247.8911348082126</v>
      </c>
      <c r="G22">
        <v>-0.14275839558563705</v>
      </c>
    </row>
    <row r="23" spans="6:7" x14ac:dyDescent="0.3">
      <c r="F23">
        <v>-217.80996339328348</v>
      </c>
      <c r="G23">
        <v>-0.12112833564841931</v>
      </c>
    </row>
    <row r="24" spans="6:7" x14ac:dyDescent="0.3">
      <c r="F24">
        <v>-156.5335031036129</v>
      </c>
      <c r="G24">
        <v>-9.5172263723758019E-2</v>
      </c>
    </row>
    <row r="25" spans="6:7" x14ac:dyDescent="0.3">
      <c r="F25">
        <v>-85.787044405538737</v>
      </c>
      <c r="G25">
        <v>-6.4890179811653181E-2</v>
      </c>
    </row>
    <row r="26" spans="6:7" x14ac:dyDescent="0.3">
      <c r="F26">
        <v>0</v>
      </c>
      <c r="G26">
        <v>0</v>
      </c>
    </row>
    <row r="27" spans="6:7" x14ac:dyDescent="0.3">
      <c r="F27">
        <v>0</v>
      </c>
      <c r="G27">
        <v>0</v>
      </c>
    </row>
    <row r="28" spans="6:7" x14ac:dyDescent="0.3">
      <c r="F28">
        <v>85.787044405538737</v>
      </c>
      <c r="G28">
        <v>1.2978035962330646E-2</v>
      </c>
    </row>
    <row r="29" spans="6:7" x14ac:dyDescent="0.3">
      <c r="F29">
        <v>156.5335031036129</v>
      </c>
      <c r="G29">
        <v>2.5956071924661293E-2</v>
      </c>
    </row>
    <row r="30" spans="6:7" x14ac:dyDescent="0.3">
      <c r="F30">
        <v>217.80996339328348</v>
      </c>
      <c r="G30">
        <v>3.8934107886991941E-2</v>
      </c>
    </row>
    <row r="31" spans="6:7" x14ac:dyDescent="0.3">
      <c r="F31">
        <v>247.83542893522201</v>
      </c>
      <c r="G31">
        <v>4.7586131861879037E-2</v>
      </c>
    </row>
    <row r="32" spans="6:7" x14ac:dyDescent="0.3">
      <c r="F32">
        <v>311.39583001750754</v>
      </c>
      <c r="G32">
        <v>6.4890179811653237E-2</v>
      </c>
    </row>
    <row r="33" spans="4:26" x14ac:dyDescent="0.3">
      <c r="F33">
        <v>371.55817284736588</v>
      </c>
      <c r="G33">
        <v>7.7868215773983882E-2</v>
      </c>
    </row>
    <row r="34" spans="4:26" x14ac:dyDescent="0.3">
      <c r="F34">
        <v>528.6487346808849</v>
      </c>
      <c r="G34">
        <v>0.13843238359819354</v>
      </c>
    </row>
    <row r="35" spans="4:26" x14ac:dyDescent="0.3">
      <c r="F35">
        <v>875.13926468247632</v>
      </c>
      <c r="G35">
        <v>0.27686476719638708</v>
      </c>
      <c r="Q35">
        <v>0.994982757112016</v>
      </c>
    </row>
    <row r="36" spans="4:26" x14ac:dyDescent="0.3">
      <c r="F36">
        <v>1394.3180009549578</v>
      </c>
      <c r="G36">
        <v>0.44557923470668548</v>
      </c>
    </row>
    <row r="37" spans="4:26" x14ac:dyDescent="0.3">
      <c r="D37" t="s">
        <v>13</v>
      </c>
      <c r="F37">
        <v>2861.6106955276141</v>
      </c>
      <c r="G37">
        <v>0.71379197792818549</v>
      </c>
      <c r="J37" t="s">
        <v>14</v>
      </c>
      <c r="P37" t="s">
        <v>13</v>
      </c>
      <c r="V37" t="s">
        <v>14</v>
      </c>
    </row>
    <row r="38" spans="4:26" x14ac:dyDescent="0.3">
      <c r="D38" t="s">
        <v>4</v>
      </c>
      <c r="E38" t="s">
        <v>10</v>
      </c>
      <c r="F38">
        <v>8119.6880471112518</v>
      </c>
      <c r="G38">
        <v>0.9690266851873548</v>
      </c>
      <c r="J38" t="s">
        <v>4</v>
      </c>
      <c r="K38" t="s">
        <v>10</v>
      </c>
      <c r="L38" t="s">
        <v>11</v>
      </c>
      <c r="M38" t="s">
        <v>12</v>
      </c>
      <c r="P38" t="s">
        <v>4</v>
      </c>
      <c r="Q38" t="s">
        <v>10</v>
      </c>
      <c r="R38" t="s">
        <v>11</v>
      </c>
      <c r="S38" t="s">
        <v>12</v>
      </c>
      <c r="T38" t="s">
        <v>15</v>
      </c>
      <c r="V38" t="s">
        <v>4</v>
      </c>
      <c r="W38" t="s">
        <v>10</v>
      </c>
      <c r="X38" t="s">
        <v>11</v>
      </c>
      <c r="Y38" t="s">
        <v>12</v>
      </c>
    </row>
    <row r="39" spans="4:26" x14ac:dyDescent="0.3">
      <c r="D39">
        <f>1.4579*1000</f>
        <v>1457.8999999999999</v>
      </c>
      <c r="E39">
        <v>0</v>
      </c>
      <c r="F39">
        <f>D39/1000*1750/3.1415/0.1</f>
        <v>8121.3592233009695</v>
      </c>
      <c r="G39">
        <f>E39/31*1.4565*435*825/300/0.8*(0.07)^2/(0.01)^2*1.25664/1000000+0.977678709162242</f>
        <v>0.97767870916224198</v>
      </c>
      <c r="J39">
        <v>0</v>
      </c>
      <c r="K39">
        <v>0</v>
      </c>
      <c r="L39">
        <f>-J39/1000*1750/3.1415/0.1</f>
        <v>0</v>
      </c>
      <c r="M39">
        <f>K39/31*1.4565*435*825/300/0.8*(0.07)^2/(0.01)^2*1.25664/1000000</f>
        <v>0</v>
      </c>
      <c r="P39">
        <f>1.4579*1000</f>
        <v>1457.8999999999999</v>
      </c>
      <c r="Q39">
        <v>0</v>
      </c>
      <c r="R39">
        <f>-P39/1000*1750/3.1415/0.1</f>
        <v>-8121.3592233009695</v>
      </c>
      <c r="S39">
        <f>Q39/31*1.4565*435*825/300/0.8*(0.07)^2/(0.01)^2*1.25664/1000000-0.994982757112016</f>
        <v>-0.994982757112016</v>
      </c>
      <c r="T39">
        <v>0</v>
      </c>
      <c r="V39">
        <v>0</v>
      </c>
      <c r="W39">
        <v>0</v>
      </c>
      <c r="X39">
        <f>V39/1000*1750/3.1415/0.1</f>
        <v>0</v>
      </c>
      <c r="Y39">
        <f>W39/31*1.4565*435*825/300/0.8*(0.07)^2/(0.01)^2*1.25664/1000000</f>
        <v>0</v>
      </c>
      <c r="Z39">
        <v>0</v>
      </c>
    </row>
    <row r="40" spans="4:26" x14ac:dyDescent="0.3">
      <c r="D40">
        <f>0.514*1000</f>
        <v>514</v>
      </c>
      <c r="E40">
        <v>54</v>
      </c>
      <c r="F40">
        <f t="shared" ref="F40:F50" si="4">D40/1000*1750/3.1415/0.1</f>
        <v>2863.2818717173323</v>
      </c>
      <c r="G40">
        <f>G39-E40/31*1.4565*435*825/300/0.8*(0.07)^2/(0.01)^2*1.25664/1000000</f>
        <v>0.74407406184029035</v>
      </c>
      <c r="J40">
        <v>15.4</v>
      </c>
      <c r="K40">
        <v>-3</v>
      </c>
      <c r="L40">
        <f t="shared" ref="L40:L50" si="5">-J40/1000*1750/3.1415/0.1</f>
        <v>-85.787044405538737</v>
      </c>
      <c r="M40">
        <f>M39+K40/31*1.4565*435*825/300/0.8*(0.07)^2/(0.01)^2*1.25664/1000000</f>
        <v>-1.2978035962330646E-2</v>
      </c>
      <c r="P40">
        <f>0.514*1000</f>
        <v>514</v>
      </c>
      <c r="Q40">
        <v>56</v>
      </c>
      <c r="R40">
        <f t="shared" ref="R40:R50" si="6">-P40/1000*1750/3.1415/0.1</f>
        <v>-2863.2818717173323</v>
      </c>
      <c r="S40">
        <f>Q40/31*1.4565*435*825/300/0.8*(0.07)^2/(0.01)^2*1.25664/1000000+S39</f>
        <v>-0.7527260858151773</v>
      </c>
      <c r="T40">
        <f>0.5/Q40*S40</f>
        <v>-6.7207686233497974E-3</v>
      </c>
      <c r="V40">
        <v>15.4</v>
      </c>
      <c r="W40">
        <v>-3</v>
      </c>
      <c r="X40">
        <f t="shared" ref="X40:X50" si="7">V40/1000*1750/3.1415/0.1</f>
        <v>85.787044405538737</v>
      </c>
      <c r="Y40">
        <f>-W40/31*1.4565*435*825/300/0.8*(0.07)^2/(0.01)^2*1.25664/1000000+Y39</f>
        <v>1.2978035962330646E-2</v>
      </c>
      <c r="Z40">
        <f>0.5/W40*Y40</f>
        <v>-2.1630059937217741E-3</v>
      </c>
    </row>
    <row r="41" spans="4:26" x14ac:dyDescent="0.3">
      <c r="D41">
        <v>250.43</v>
      </c>
      <c r="E41">
        <v>55</v>
      </c>
      <c r="F41">
        <f t="shared" si="4"/>
        <v>1395.0421773038356</v>
      </c>
      <c r="G41">
        <f>G40-E41/31*1.4565*435*825/300/0.8*(0.07)^2/(0.01)^2*1.25664/1000000</f>
        <v>0.50614340253089518</v>
      </c>
      <c r="J41">
        <v>28.1</v>
      </c>
      <c r="K41">
        <v>-2</v>
      </c>
      <c r="L41">
        <f t="shared" si="5"/>
        <v>-156.5335031036129</v>
      </c>
      <c r="M41">
        <f t="shared" ref="M41:M50" si="8">M40+K41/31*1.4565*435*825/300/0.8*(0.07)^2/(0.01)^2*1.25664/1000000</f>
        <v>-2.1630059937217741E-2</v>
      </c>
      <c r="P41">
        <v>250.43</v>
      </c>
      <c r="Q41">
        <v>55</v>
      </c>
      <c r="R41">
        <f t="shared" si="6"/>
        <v>-1395.0421773038356</v>
      </c>
      <c r="S41">
        <f t="shared" ref="S41:S50" si="9">Q41/31*1.4565*435*825/300/0.8*(0.07)^2/(0.01)^2*1.25664/1000000+S40</f>
        <v>-0.51479542650578214</v>
      </c>
      <c r="T41">
        <f>0.5/Q41*S41</f>
        <v>-4.6799584227798377E-3</v>
      </c>
      <c r="V41">
        <v>28.1</v>
      </c>
      <c r="W41">
        <v>-3</v>
      </c>
      <c r="X41">
        <f t="shared" si="7"/>
        <v>156.5335031036129</v>
      </c>
      <c r="Y41">
        <f t="shared" ref="Y41:Y50" si="10">-W41/31*1.4565*435*825/300/0.8*(0.07)^2/(0.01)^2*1.25664/1000000+Y40</f>
        <v>2.5956071924661293E-2</v>
      </c>
      <c r="Z41">
        <f t="shared" ref="Z41:Z50" si="11">0.5/W41*Y41</f>
        <v>-4.3260119874435482E-3</v>
      </c>
    </row>
    <row r="42" spans="4:26" x14ac:dyDescent="0.3">
      <c r="D42">
        <v>157.24</v>
      </c>
      <c r="E42">
        <v>35</v>
      </c>
      <c r="F42">
        <f t="shared" si="4"/>
        <v>875.91914690434498</v>
      </c>
      <c r="G42">
        <f t="shared" ref="G42:G50" si="12">G41-E42/31*1.4565*435*825/300/0.8*(0.07)^2/(0.01)^2*1.25664/1000000</f>
        <v>0.35473298297037098</v>
      </c>
      <c r="J42">
        <v>39.1</v>
      </c>
      <c r="K42">
        <v>-3</v>
      </c>
      <c r="L42">
        <f t="shared" si="5"/>
        <v>-217.80996339328348</v>
      </c>
      <c r="M42">
        <f t="shared" si="8"/>
        <v>-3.4608095899548386E-2</v>
      </c>
      <c r="P42">
        <v>157.24</v>
      </c>
      <c r="Q42">
        <v>34</v>
      </c>
      <c r="R42">
        <f t="shared" si="6"/>
        <v>-875.91914690434498</v>
      </c>
      <c r="S42">
        <f t="shared" si="9"/>
        <v>-0.36771101893270153</v>
      </c>
      <c r="T42">
        <f t="shared" ref="T42:T50" si="13">0.5/Q42*S42</f>
        <v>-5.4075149843044344E-3</v>
      </c>
      <c r="V42">
        <v>39.1</v>
      </c>
      <c r="W42">
        <v>-3</v>
      </c>
      <c r="X42">
        <f t="shared" si="7"/>
        <v>217.80996339328348</v>
      </c>
      <c r="Y42">
        <f t="shared" si="10"/>
        <v>3.8934107886991941E-2</v>
      </c>
      <c r="Z42">
        <f t="shared" si="11"/>
        <v>-6.4890179811653232E-3</v>
      </c>
    </row>
    <row r="43" spans="4:26" x14ac:dyDescent="0.3">
      <c r="D43">
        <v>95.02</v>
      </c>
      <c r="E43">
        <v>25</v>
      </c>
      <c r="F43">
        <f t="shared" si="4"/>
        <v>529.31720515677216</v>
      </c>
      <c r="G43">
        <f t="shared" si="12"/>
        <v>0.24658268328428229</v>
      </c>
      <c r="J43">
        <v>44.49</v>
      </c>
      <c r="K43">
        <v>-4</v>
      </c>
      <c r="L43">
        <f t="shared" si="5"/>
        <v>-247.83542893522201</v>
      </c>
      <c r="M43">
        <f t="shared" si="8"/>
        <v>-5.1912143849322578E-2</v>
      </c>
      <c r="P43">
        <v>95.02</v>
      </c>
      <c r="Q43">
        <v>25</v>
      </c>
      <c r="R43">
        <f t="shared" si="6"/>
        <v>-529.31720515677216</v>
      </c>
      <c r="S43">
        <f t="shared" si="9"/>
        <v>-0.25956071924661284</v>
      </c>
      <c r="T43">
        <f t="shared" si="13"/>
        <v>-5.1912143849322566E-3</v>
      </c>
      <c r="V43">
        <v>44.49</v>
      </c>
      <c r="W43">
        <v>-2</v>
      </c>
      <c r="X43">
        <f t="shared" si="7"/>
        <v>247.83542893522201</v>
      </c>
      <c r="Y43">
        <f t="shared" si="10"/>
        <v>4.7586131861879037E-2</v>
      </c>
      <c r="Z43">
        <f t="shared" si="11"/>
        <v>-1.1896532965469759E-2</v>
      </c>
    </row>
    <row r="44" spans="4:26" x14ac:dyDescent="0.3">
      <c r="D44">
        <v>66.78</v>
      </c>
      <c r="E44">
        <v>10</v>
      </c>
      <c r="F44">
        <f t="shared" si="4"/>
        <v>372.00381983129074</v>
      </c>
      <c r="G44">
        <f t="shared" si="12"/>
        <v>0.20332256340984681</v>
      </c>
      <c r="J44">
        <v>55.9</v>
      </c>
      <c r="K44">
        <v>-4</v>
      </c>
      <c r="L44">
        <f t="shared" si="5"/>
        <v>-311.39583001750754</v>
      </c>
      <c r="M44">
        <f t="shared" si="8"/>
        <v>-6.9216191799096771E-2</v>
      </c>
      <c r="P44">
        <v>66.78</v>
      </c>
      <c r="Q44">
        <v>14</v>
      </c>
      <c r="R44">
        <f t="shared" si="6"/>
        <v>-372.00381983129074</v>
      </c>
      <c r="S44">
        <f t="shared" si="9"/>
        <v>-0.19899655142240316</v>
      </c>
      <c r="T44">
        <f t="shared" si="13"/>
        <v>-7.1070196936572558E-3</v>
      </c>
      <c r="V44">
        <v>55.9</v>
      </c>
      <c r="W44">
        <v>-4</v>
      </c>
      <c r="X44">
        <f t="shared" si="7"/>
        <v>311.39583001750754</v>
      </c>
      <c r="Y44">
        <f t="shared" si="10"/>
        <v>6.4890179811653237E-2</v>
      </c>
      <c r="Z44">
        <f t="shared" si="11"/>
        <v>-8.1112724764566546E-3</v>
      </c>
    </row>
    <row r="45" spans="4:26" x14ac:dyDescent="0.3">
      <c r="D45">
        <v>55.98</v>
      </c>
      <c r="E45">
        <v>8</v>
      </c>
      <c r="F45">
        <f t="shared" si="4"/>
        <v>311.84147700143239</v>
      </c>
      <c r="G45">
        <f t="shared" si="12"/>
        <v>0.16871446751029842</v>
      </c>
      <c r="J45">
        <v>66.7</v>
      </c>
      <c r="K45">
        <v>-3</v>
      </c>
      <c r="L45">
        <f t="shared" si="5"/>
        <v>-371.55817284736588</v>
      </c>
      <c r="M45">
        <f t="shared" si="8"/>
        <v>-8.2194227761427416E-2</v>
      </c>
      <c r="P45">
        <v>55.98</v>
      </c>
      <c r="Q45">
        <v>7</v>
      </c>
      <c r="R45">
        <f t="shared" si="6"/>
        <v>-311.84147700143239</v>
      </c>
      <c r="S45">
        <f t="shared" si="9"/>
        <v>-0.16871446751029834</v>
      </c>
      <c r="T45">
        <f t="shared" si="13"/>
        <v>-1.2051033393592737E-2</v>
      </c>
      <c r="V45">
        <v>66.7</v>
      </c>
      <c r="W45">
        <v>-3</v>
      </c>
      <c r="X45">
        <f t="shared" si="7"/>
        <v>371.55817284736588</v>
      </c>
      <c r="Y45">
        <f t="shared" si="10"/>
        <v>7.7868215773983882E-2</v>
      </c>
      <c r="Z45">
        <f t="shared" si="11"/>
        <v>-1.2978035962330646E-2</v>
      </c>
    </row>
    <row r="46" spans="4:26" x14ac:dyDescent="0.3">
      <c r="D46">
        <v>44.5</v>
      </c>
      <c r="E46">
        <v>6</v>
      </c>
      <c r="F46">
        <f t="shared" si="4"/>
        <v>247.8911348082126</v>
      </c>
      <c r="G46">
        <f t="shared" si="12"/>
        <v>0.14275839558563713</v>
      </c>
      <c r="J46">
        <v>94.9</v>
      </c>
      <c r="K46">
        <v>-12</v>
      </c>
      <c r="L46">
        <f t="shared" si="5"/>
        <v>-528.6487346808849</v>
      </c>
      <c r="M46">
        <f t="shared" si="8"/>
        <v>-0.13410637161075001</v>
      </c>
      <c r="P46">
        <v>44.5</v>
      </c>
      <c r="Q46">
        <v>6</v>
      </c>
      <c r="R46">
        <f t="shared" si="6"/>
        <v>-247.8911348082126</v>
      </c>
      <c r="S46">
        <f t="shared" si="9"/>
        <v>-0.14275839558563705</v>
      </c>
      <c r="T46">
        <f t="shared" si="13"/>
        <v>-1.1896532965469754E-2</v>
      </c>
      <c r="V46">
        <v>94.9</v>
      </c>
      <c r="W46">
        <v>-14</v>
      </c>
      <c r="X46">
        <f t="shared" si="7"/>
        <v>528.6487346808849</v>
      </c>
      <c r="Y46">
        <f t="shared" si="10"/>
        <v>0.13843238359819354</v>
      </c>
      <c r="Z46">
        <f t="shared" si="11"/>
        <v>-4.9440136999354834E-3</v>
      </c>
    </row>
    <row r="47" spans="4:26" x14ac:dyDescent="0.3">
      <c r="D47">
        <v>39.1</v>
      </c>
      <c r="E47">
        <v>6</v>
      </c>
      <c r="F47">
        <f t="shared" si="4"/>
        <v>217.80996339328348</v>
      </c>
      <c r="G47">
        <f t="shared" si="12"/>
        <v>0.11680232366097584</v>
      </c>
      <c r="J47">
        <v>157.1</v>
      </c>
      <c r="K47">
        <v>-26</v>
      </c>
      <c r="L47">
        <f t="shared" si="5"/>
        <v>-875.13926468247632</v>
      </c>
      <c r="M47">
        <f t="shared" si="8"/>
        <v>-0.24658268328428226</v>
      </c>
      <c r="P47">
        <v>39.1</v>
      </c>
      <c r="Q47">
        <v>5</v>
      </c>
      <c r="R47">
        <f t="shared" si="6"/>
        <v>-217.80996339328348</v>
      </c>
      <c r="S47">
        <f t="shared" si="9"/>
        <v>-0.12112833564841931</v>
      </c>
      <c r="T47">
        <f t="shared" si="13"/>
        <v>-1.2112833564841932E-2</v>
      </c>
      <c r="V47">
        <v>157.1</v>
      </c>
      <c r="W47">
        <v>-32</v>
      </c>
      <c r="X47">
        <f t="shared" si="7"/>
        <v>875.13926468247632</v>
      </c>
      <c r="Y47">
        <f t="shared" si="10"/>
        <v>0.27686476719638708</v>
      </c>
      <c r="Z47">
        <f t="shared" si="11"/>
        <v>-4.3260119874435482E-3</v>
      </c>
    </row>
    <row r="48" spans="4:26" x14ac:dyDescent="0.3">
      <c r="D48">
        <v>28.1</v>
      </c>
      <c r="E48">
        <v>6</v>
      </c>
      <c r="F48">
        <f t="shared" si="4"/>
        <v>156.5335031036129</v>
      </c>
      <c r="G48">
        <f t="shared" si="12"/>
        <v>9.0846251736314554E-2</v>
      </c>
      <c r="J48">
        <v>250.3</v>
      </c>
      <c r="K48">
        <v>-33</v>
      </c>
      <c r="L48">
        <f t="shared" si="5"/>
        <v>-1394.3180009549578</v>
      </c>
      <c r="M48">
        <f t="shared" si="8"/>
        <v>-0.38934107886991931</v>
      </c>
      <c r="P48">
        <v>28.1</v>
      </c>
      <c r="Q48">
        <v>6</v>
      </c>
      <c r="R48">
        <f t="shared" si="6"/>
        <v>-156.5335031036129</v>
      </c>
      <c r="S48">
        <f t="shared" si="9"/>
        <v>-9.5172263723758019E-2</v>
      </c>
      <c r="T48">
        <f t="shared" si="13"/>
        <v>-7.9310219769798337E-3</v>
      </c>
      <c r="V48">
        <v>250.3</v>
      </c>
      <c r="W48">
        <v>-39</v>
      </c>
      <c r="X48">
        <f t="shared" si="7"/>
        <v>1394.3180009549578</v>
      </c>
      <c r="Y48">
        <f t="shared" si="10"/>
        <v>0.44557923470668548</v>
      </c>
      <c r="Z48">
        <f t="shared" si="11"/>
        <v>-5.7125542911113519E-3</v>
      </c>
    </row>
    <row r="49" spans="3:26" x14ac:dyDescent="0.3">
      <c r="D49">
        <v>15.4</v>
      </c>
      <c r="E49">
        <v>8</v>
      </c>
      <c r="F49">
        <f t="shared" si="4"/>
        <v>85.787044405538737</v>
      </c>
      <c r="G49">
        <f t="shared" si="12"/>
        <v>5.6238155836766168E-2</v>
      </c>
      <c r="J49">
        <v>513.70000000000005</v>
      </c>
      <c r="K49">
        <v>-52</v>
      </c>
      <c r="L49">
        <f t="shared" si="5"/>
        <v>-2861.6106955276141</v>
      </c>
      <c r="M49">
        <f t="shared" si="8"/>
        <v>-0.61429370221698387</v>
      </c>
      <c r="P49">
        <v>15.4</v>
      </c>
      <c r="Q49">
        <v>7</v>
      </c>
      <c r="R49">
        <f t="shared" si="6"/>
        <v>-85.787044405538737</v>
      </c>
      <c r="S49">
        <f t="shared" si="9"/>
        <v>-6.4890179811653181E-2</v>
      </c>
      <c r="T49">
        <f t="shared" si="13"/>
        <v>-4.6350128436895123E-3</v>
      </c>
      <c r="V49">
        <v>513.70000000000005</v>
      </c>
      <c r="W49">
        <v>-62</v>
      </c>
      <c r="X49">
        <f t="shared" si="7"/>
        <v>2861.6106955276141</v>
      </c>
      <c r="Y49">
        <f t="shared" si="10"/>
        <v>0.71379197792818549</v>
      </c>
      <c r="Z49">
        <f t="shared" si="11"/>
        <v>-5.7563869187756897E-3</v>
      </c>
    </row>
    <row r="50" spans="3:26" x14ac:dyDescent="0.3">
      <c r="D50">
        <v>0</v>
      </c>
      <c r="E50">
        <v>13</v>
      </c>
      <c r="F50">
        <f t="shared" si="4"/>
        <v>0</v>
      </c>
      <c r="G50">
        <f t="shared" si="12"/>
        <v>0</v>
      </c>
      <c r="J50">
        <v>1457.6</v>
      </c>
      <c r="K50">
        <v>-51</v>
      </c>
      <c r="L50">
        <f t="shared" si="5"/>
        <v>-8119.6880471112518</v>
      </c>
      <c r="M50">
        <f t="shared" si="8"/>
        <v>-0.83492031357660479</v>
      </c>
      <c r="P50">
        <v>0</v>
      </c>
      <c r="Q50">
        <v>15</v>
      </c>
      <c r="R50">
        <f t="shared" si="6"/>
        <v>0</v>
      </c>
      <c r="S50">
        <f t="shared" si="9"/>
        <v>0</v>
      </c>
      <c r="T50">
        <f t="shared" si="13"/>
        <v>0</v>
      </c>
      <c r="V50">
        <v>1457.6</v>
      </c>
      <c r="W50">
        <v>-59</v>
      </c>
      <c r="X50">
        <f t="shared" si="7"/>
        <v>8119.6880471112518</v>
      </c>
      <c r="Y50">
        <f t="shared" si="10"/>
        <v>0.9690266851873548</v>
      </c>
      <c r="Z50">
        <f t="shared" si="11"/>
        <v>-8.2120905524352104E-3</v>
      </c>
    </row>
    <row r="51" spans="3:26" x14ac:dyDescent="0.3">
      <c r="F51">
        <v>0</v>
      </c>
      <c r="G51">
        <v>0</v>
      </c>
    </row>
    <row r="52" spans="3:26" x14ac:dyDescent="0.3">
      <c r="F52">
        <v>-85.787044405538737</v>
      </c>
      <c r="G52">
        <v>-1.2978035962330646E-2</v>
      </c>
    </row>
    <row r="53" spans="3:26" x14ac:dyDescent="0.3">
      <c r="F53">
        <v>-156.5335031036129</v>
      </c>
      <c r="G53">
        <v>-2.1630059937217741E-2</v>
      </c>
    </row>
    <row r="54" spans="3:26" x14ac:dyDescent="0.3">
      <c r="F54">
        <v>-217.80996339328348</v>
      </c>
      <c r="G54">
        <v>-3.4608095899548386E-2</v>
      </c>
    </row>
    <row r="55" spans="3:26" x14ac:dyDescent="0.3">
      <c r="F55">
        <v>-247.83542893522201</v>
      </c>
      <c r="G55">
        <v>-5.1912143849322578E-2</v>
      </c>
    </row>
    <row r="56" spans="3:26" x14ac:dyDescent="0.3">
      <c r="C56">
        <v>-0.97767870916224198</v>
      </c>
      <c r="F56">
        <v>-311.39583001750754</v>
      </c>
      <c r="G56">
        <v>-6.9216191799096771E-2</v>
      </c>
    </row>
    <row r="57" spans="3:26" x14ac:dyDescent="0.3">
      <c r="F57">
        <v>-371.55817284736588</v>
      </c>
      <c r="G57">
        <v>-8.2194227761427416E-2</v>
      </c>
    </row>
    <row r="58" spans="3:26" x14ac:dyDescent="0.3">
      <c r="F58">
        <v>-528.6487346808849</v>
      </c>
      <c r="G58">
        <v>-0.13410637161075001</v>
      </c>
    </row>
    <row r="59" spans="3:26" x14ac:dyDescent="0.3">
      <c r="F59">
        <v>-875.13926468247632</v>
      </c>
      <c r="G59">
        <v>-0.24658268328428226</v>
      </c>
    </row>
    <row r="60" spans="3:26" x14ac:dyDescent="0.3">
      <c r="F60">
        <v>-1394.3180009549578</v>
      </c>
      <c r="G60">
        <v>-0.38934107886991931</v>
      </c>
    </row>
    <row r="61" spans="3:26" x14ac:dyDescent="0.3">
      <c r="F61">
        <v>-2861.6106955276141</v>
      </c>
      <c r="G61">
        <v>-0.61429370221698387</v>
      </c>
    </row>
    <row r="62" spans="3:26" x14ac:dyDescent="0.3">
      <c r="F62">
        <v>-8119.6880471112518</v>
      </c>
      <c r="G62">
        <v>-0.83492031357660479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B21B-0C9B-4DE8-B614-D2F84376087A}">
  <dimension ref="A1:T26"/>
  <sheetViews>
    <sheetView topLeftCell="F1" workbookViewId="0">
      <selection activeCell="H15" sqref="H15:H26"/>
    </sheetView>
  </sheetViews>
  <sheetFormatPr defaultRowHeight="14.4" x14ac:dyDescent="0.3"/>
  <sheetData>
    <row r="1" spans="1:20" x14ac:dyDescent="0.3">
      <c r="A1" t="s">
        <v>13</v>
      </c>
      <c r="L1" t="s">
        <v>14</v>
      </c>
    </row>
    <row r="2" spans="1:20" x14ac:dyDescent="0.3">
      <c r="A2" t="s">
        <v>4</v>
      </c>
      <c r="B2" t="s">
        <v>10</v>
      </c>
      <c r="C2" t="s">
        <v>11</v>
      </c>
      <c r="D2" t="s">
        <v>12</v>
      </c>
      <c r="E2" t="s">
        <v>15</v>
      </c>
      <c r="H2" t="s">
        <v>11</v>
      </c>
      <c r="I2" t="s">
        <v>17</v>
      </c>
      <c r="L2" t="s">
        <v>4</v>
      </c>
      <c r="M2" t="s">
        <v>10</v>
      </c>
      <c r="N2" t="s">
        <v>11</v>
      </c>
      <c r="O2" t="s">
        <v>12</v>
      </c>
      <c r="S2" t="s">
        <v>11</v>
      </c>
    </row>
    <row r="3" spans="1:20" x14ac:dyDescent="0.3">
      <c r="A3">
        <f>1.4579*1000</f>
        <v>1457.8999999999999</v>
      </c>
      <c r="B3">
        <v>0</v>
      </c>
      <c r="C3">
        <f>A3/1000*1750/3.1415/0.1</f>
        <v>8121.3592233009695</v>
      </c>
      <c r="D3">
        <f>B3/31*1.4565*435*825/300/0.8*(0.07)^2/(0.01)^2*1.25664/1000000</f>
        <v>0</v>
      </c>
      <c r="E3">
        <v>0</v>
      </c>
      <c r="H3">
        <f t="shared" ref="H3:H12" si="0">C3</f>
        <v>8121.3592233009695</v>
      </c>
      <c r="I3">
        <f>D3</f>
        <v>0</v>
      </c>
      <c r="L3">
        <v>0</v>
      </c>
      <c r="M3">
        <v>0</v>
      </c>
      <c r="N3">
        <f>L3/1000*1750/3.1415/0.1</f>
        <v>0</v>
      </c>
      <c r="O3">
        <f>M3/31*1.4565*435*825/300/0.8*(0.07)^2/(0.01)^2*1.25664/1000000</f>
        <v>0</v>
      </c>
      <c r="P3">
        <v>0</v>
      </c>
      <c r="S3">
        <v>0</v>
      </c>
      <c r="T3">
        <f>O3</f>
        <v>0</v>
      </c>
    </row>
    <row r="4" spans="1:20" x14ac:dyDescent="0.3">
      <c r="A4">
        <f>0.514*1000</f>
        <v>514</v>
      </c>
      <c r="B4">
        <v>56</v>
      </c>
      <c r="C4">
        <f t="shared" ref="C4:C14" si="1">A4/1000*1750/3.1415/0.1</f>
        <v>2863.2818717173323</v>
      </c>
      <c r="D4">
        <f t="shared" ref="D4:D14" si="2">B4/31*1.4565*435*825/300/0.8*(0.07)^2/(0.01)^2*1.25664/1000000</f>
        <v>0.2422566712968387</v>
      </c>
      <c r="E4">
        <f>0.5/B4*D4</f>
        <v>2.1630059937217741E-3</v>
      </c>
      <c r="H4">
        <f t="shared" si="0"/>
        <v>2863.2818717173323</v>
      </c>
      <c r="I4">
        <f>I3+D4</f>
        <v>0.2422566712968387</v>
      </c>
      <c r="L4">
        <v>15.4</v>
      </c>
      <c r="M4">
        <v>-3</v>
      </c>
      <c r="N4">
        <f t="shared" ref="N4:N14" si="3">L4/1000*1750/3.1415/0.1</f>
        <v>85.787044405538737</v>
      </c>
      <c r="O4">
        <f t="shared" ref="O4:O14" si="4">M4/31*1.4565*435*825/300/0.8*(0.07)^2/(0.01)^2*1.25664/1000000</f>
        <v>-1.2978035962330646E-2</v>
      </c>
      <c r="P4">
        <f>0.5/M4*O4</f>
        <v>2.1630059937217741E-3</v>
      </c>
      <c r="S4">
        <v>85.787044405538737</v>
      </c>
      <c r="T4">
        <f>T3+O4</f>
        <v>-1.2978035962330646E-2</v>
      </c>
    </row>
    <row r="5" spans="1:20" x14ac:dyDescent="0.3">
      <c r="A5">
        <v>250.43</v>
      </c>
      <c r="B5">
        <v>55</v>
      </c>
      <c r="C5">
        <f t="shared" si="1"/>
        <v>1395.0421773038356</v>
      </c>
      <c r="D5">
        <f t="shared" si="2"/>
        <v>0.23793065930939519</v>
      </c>
      <c r="E5">
        <f>0.5/B5*D5</f>
        <v>2.1630059937217745E-3</v>
      </c>
      <c r="H5">
        <f t="shared" si="0"/>
        <v>1395.0421773038356</v>
      </c>
      <c r="I5">
        <f t="shared" ref="I5:I14" si="5">I4+D5</f>
        <v>0.48018733060623386</v>
      </c>
      <c r="L5">
        <v>28.1</v>
      </c>
      <c r="M5">
        <v>-3</v>
      </c>
      <c r="N5">
        <f t="shared" si="3"/>
        <v>156.5335031036129</v>
      </c>
      <c r="O5">
        <f t="shared" si="4"/>
        <v>-1.2978035962330646E-2</v>
      </c>
      <c r="P5">
        <f t="shared" ref="P5:P14" si="6">0.5/M5*O5</f>
        <v>2.1630059937217741E-3</v>
      </c>
      <c r="S5">
        <v>156.5335031036129</v>
      </c>
      <c r="T5">
        <f t="shared" ref="T5:T14" si="7">T4+O5</f>
        <v>-2.5956071924661293E-2</v>
      </c>
    </row>
    <row r="6" spans="1:20" x14ac:dyDescent="0.3">
      <c r="A6">
        <v>157.24</v>
      </c>
      <c r="B6">
        <v>34</v>
      </c>
      <c r="C6">
        <f t="shared" si="1"/>
        <v>875.91914690434498</v>
      </c>
      <c r="D6">
        <f>B6/31*1.4565*435*825/300/0.8*(0.07)^2/(0.01)^2*1.25664/1000000</f>
        <v>0.14708440757308061</v>
      </c>
      <c r="E6">
        <f t="shared" ref="E6:E14" si="8">0.5/B6*D6</f>
        <v>2.1630059937217737E-3</v>
      </c>
      <c r="H6">
        <f t="shared" si="0"/>
        <v>875.91914690434498</v>
      </c>
      <c r="I6">
        <f t="shared" si="5"/>
        <v>0.62727173817931448</v>
      </c>
      <c r="L6">
        <v>39.1</v>
      </c>
      <c r="M6">
        <v>-3</v>
      </c>
      <c r="N6">
        <f t="shared" si="3"/>
        <v>217.80996339328348</v>
      </c>
      <c r="O6">
        <f t="shared" si="4"/>
        <v>-1.2978035962330646E-2</v>
      </c>
      <c r="P6">
        <f t="shared" si="6"/>
        <v>2.1630059937217741E-3</v>
      </c>
      <c r="S6">
        <v>217.80996339328348</v>
      </c>
      <c r="T6">
        <f t="shared" si="7"/>
        <v>-3.8934107886991941E-2</v>
      </c>
    </row>
    <row r="7" spans="1:20" x14ac:dyDescent="0.3">
      <c r="A7">
        <v>95.02</v>
      </c>
      <c r="B7">
        <v>25</v>
      </c>
      <c r="C7">
        <f t="shared" si="1"/>
        <v>529.31720515677216</v>
      </c>
      <c r="D7">
        <f t="shared" si="2"/>
        <v>0.10815029968608868</v>
      </c>
      <c r="E7">
        <f t="shared" si="8"/>
        <v>2.1630059937217737E-3</v>
      </c>
      <c r="H7">
        <f t="shared" si="0"/>
        <v>529.31720515677216</v>
      </c>
      <c r="I7">
        <f t="shared" si="5"/>
        <v>0.73542203786540317</v>
      </c>
      <c r="L7">
        <v>44.49</v>
      </c>
      <c r="M7">
        <v>-2</v>
      </c>
      <c r="N7">
        <f t="shared" si="3"/>
        <v>247.83542893522201</v>
      </c>
      <c r="O7">
        <f t="shared" si="4"/>
        <v>-8.6520239748870964E-3</v>
      </c>
      <c r="P7">
        <f t="shared" si="6"/>
        <v>2.1630059937217741E-3</v>
      </c>
      <c r="S7">
        <v>247.83542893522201</v>
      </c>
      <c r="T7">
        <f t="shared" si="7"/>
        <v>-4.7586131861879037E-2</v>
      </c>
    </row>
    <row r="8" spans="1:20" x14ac:dyDescent="0.3">
      <c r="A8">
        <v>66.78</v>
      </c>
      <c r="B8">
        <v>14</v>
      </c>
      <c r="C8">
        <f t="shared" si="1"/>
        <v>372.00381983129074</v>
      </c>
      <c r="D8">
        <f t="shared" si="2"/>
        <v>6.0564167824209675E-2</v>
      </c>
      <c r="E8">
        <f t="shared" si="8"/>
        <v>2.1630059937217741E-3</v>
      </c>
      <c r="H8">
        <f t="shared" si="0"/>
        <v>372.00381983129074</v>
      </c>
      <c r="I8">
        <f t="shared" si="5"/>
        <v>0.79598620568961287</v>
      </c>
      <c r="L8">
        <v>55.9</v>
      </c>
      <c r="M8">
        <v>-4</v>
      </c>
      <c r="N8">
        <f t="shared" si="3"/>
        <v>311.39583001750754</v>
      </c>
      <c r="O8">
        <f t="shared" si="4"/>
        <v>-1.7304047949774193E-2</v>
      </c>
      <c r="P8">
        <f t="shared" si="6"/>
        <v>2.1630059937217741E-3</v>
      </c>
      <c r="S8">
        <v>311.39583001750754</v>
      </c>
      <c r="T8">
        <f t="shared" si="7"/>
        <v>-6.4890179811653237E-2</v>
      </c>
    </row>
    <row r="9" spans="1:20" x14ac:dyDescent="0.3">
      <c r="A9">
        <v>55.98</v>
      </c>
      <c r="B9">
        <v>7</v>
      </c>
      <c r="C9">
        <f t="shared" si="1"/>
        <v>311.84147700143239</v>
      </c>
      <c r="D9">
        <f t="shared" si="2"/>
        <v>3.0282083912104837E-2</v>
      </c>
      <c r="E9">
        <f t="shared" si="8"/>
        <v>2.1630059937217741E-3</v>
      </c>
      <c r="H9">
        <f t="shared" si="0"/>
        <v>311.84147700143239</v>
      </c>
      <c r="I9">
        <f t="shared" si="5"/>
        <v>0.82626828960171772</v>
      </c>
      <c r="L9">
        <v>66.7</v>
      </c>
      <c r="M9">
        <v>-3</v>
      </c>
      <c r="N9">
        <f t="shared" si="3"/>
        <v>371.55817284736588</v>
      </c>
      <c r="O9">
        <f t="shared" si="4"/>
        <v>-1.2978035962330646E-2</v>
      </c>
      <c r="P9">
        <f t="shared" si="6"/>
        <v>2.1630059937217741E-3</v>
      </c>
      <c r="S9">
        <v>371.55817284736588</v>
      </c>
      <c r="T9">
        <f t="shared" si="7"/>
        <v>-7.7868215773983882E-2</v>
      </c>
    </row>
    <row r="10" spans="1:20" x14ac:dyDescent="0.3">
      <c r="A10">
        <v>44.5</v>
      </c>
      <c r="B10">
        <v>6</v>
      </c>
      <c r="C10">
        <f t="shared" si="1"/>
        <v>247.8911348082126</v>
      </c>
      <c r="D10">
        <f t="shared" si="2"/>
        <v>2.5956071924661293E-2</v>
      </c>
      <c r="E10">
        <f t="shared" si="8"/>
        <v>2.1630059937217741E-3</v>
      </c>
      <c r="H10">
        <f t="shared" si="0"/>
        <v>247.8911348082126</v>
      </c>
      <c r="I10">
        <f t="shared" si="5"/>
        <v>0.85222436152637904</v>
      </c>
      <c r="L10">
        <v>94.9</v>
      </c>
      <c r="M10">
        <v>-14</v>
      </c>
      <c r="N10">
        <f t="shared" si="3"/>
        <v>528.6487346808849</v>
      </c>
      <c r="O10">
        <f t="shared" si="4"/>
        <v>-6.0564167824209675E-2</v>
      </c>
      <c r="P10">
        <f t="shared" si="6"/>
        <v>2.1630059937217741E-3</v>
      </c>
      <c r="S10">
        <v>528.6487346808849</v>
      </c>
      <c r="T10">
        <f t="shared" si="7"/>
        <v>-0.13843238359819354</v>
      </c>
    </row>
    <row r="11" spans="1:20" x14ac:dyDescent="0.3">
      <c r="A11">
        <v>39.1</v>
      </c>
      <c r="B11">
        <v>5</v>
      </c>
      <c r="C11">
        <f t="shared" si="1"/>
        <v>217.80996339328348</v>
      </c>
      <c r="D11">
        <f t="shared" si="2"/>
        <v>2.1630059937217738E-2</v>
      </c>
      <c r="E11">
        <f t="shared" si="8"/>
        <v>2.1630059937217737E-3</v>
      </c>
      <c r="H11">
        <f t="shared" si="0"/>
        <v>217.80996339328348</v>
      </c>
      <c r="I11">
        <f t="shared" si="5"/>
        <v>0.87385442146359682</v>
      </c>
      <c r="L11">
        <v>157.1</v>
      </c>
      <c r="M11">
        <v>-32</v>
      </c>
      <c r="N11">
        <f t="shared" si="3"/>
        <v>875.13926468247632</v>
      </c>
      <c r="O11">
        <f t="shared" si="4"/>
        <v>-0.13843238359819354</v>
      </c>
      <c r="P11">
        <f t="shared" si="6"/>
        <v>2.1630059937217741E-3</v>
      </c>
      <c r="S11">
        <v>875.13926468247632</v>
      </c>
      <c r="T11">
        <f t="shared" si="7"/>
        <v>-0.27686476719638708</v>
      </c>
    </row>
    <row r="12" spans="1:20" x14ac:dyDescent="0.3">
      <c r="A12">
        <v>28.1</v>
      </c>
      <c r="B12">
        <v>6</v>
      </c>
      <c r="C12">
        <f t="shared" si="1"/>
        <v>156.5335031036129</v>
      </c>
      <c r="D12">
        <f t="shared" si="2"/>
        <v>2.5956071924661293E-2</v>
      </c>
      <c r="E12">
        <f t="shared" si="8"/>
        <v>2.1630059937217741E-3</v>
      </c>
      <c r="H12">
        <f t="shared" si="0"/>
        <v>156.5335031036129</v>
      </c>
      <c r="I12">
        <f t="shared" si="5"/>
        <v>0.89981049338825814</v>
      </c>
      <c r="L12">
        <v>250.3</v>
      </c>
      <c r="M12">
        <v>-39</v>
      </c>
      <c r="N12">
        <f t="shared" si="3"/>
        <v>1394.3180009549578</v>
      </c>
      <c r="O12">
        <f t="shared" si="4"/>
        <v>-0.16871446751029839</v>
      </c>
      <c r="P12">
        <f t="shared" si="6"/>
        <v>2.1630059937217741E-3</v>
      </c>
      <c r="S12">
        <v>1394.3180009549578</v>
      </c>
      <c r="T12">
        <f t="shared" si="7"/>
        <v>-0.44557923470668548</v>
      </c>
    </row>
    <row r="13" spans="1:20" x14ac:dyDescent="0.3">
      <c r="A13">
        <v>15.4</v>
      </c>
      <c r="B13">
        <v>7</v>
      </c>
      <c r="C13">
        <f t="shared" si="1"/>
        <v>85.787044405538737</v>
      </c>
      <c r="D13">
        <f t="shared" si="2"/>
        <v>3.0282083912104837E-2</v>
      </c>
      <c r="E13">
        <f t="shared" si="8"/>
        <v>2.1630059937217741E-3</v>
      </c>
      <c r="H13">
        <f>C13</f>
        <v>85.787044405538737</v>
      </c>
      <c r="I13">
        <f t="shared" si="5"/>
        <v>0.93009257730036299</v>
      </c>
      <c r="L13">
        <v>513.70000000000005</v>
      </c>
      <c r="M13">
        <v>-62</v>
      </c>
      <c r="N13">
        <f t="shared" si="3"/>
        <v>2861.6106955276141</v>
      </c>
      <c r="O13">
        <f t="shared" si="4"/>
        <v>-0.26821274322150002</v>
      </c>
      <c r="P13">
        <f t="shared" si="6"/>
        <v>2.1630059937217741E-3</v>
      </c>
      <c r="S13">
        <v>2861.6106955276141</v>
      </c>
      <c r="T13">
        <f t="shared" si="7"/>
        <v>-0.71379197792818549</v>
      </c>
    </row>
    <row r="14" spans="1:20" x14ac:dyDescent="0.3">
      <c r="A14">
        <v>0</v>
      </c>
      <c r="B14">
        <v>15</v>
      </c>
      <c r="C14">
        <f t="shared" si="1"/>
        <v>0</v>
      </c>
      <c r="D14">
        <f t="shared" si="2"/>
        <v>6.4890179811653209E-2</v>
      </c>
      <c r="E14">
        <f t="shared" si="8"/>
        <v>2.1630059937217737E-3</v>
      </c>
      <c r="H14">
        <f t="shared" ref="H14" si="9">-C14</f>
        <v>0</v>
      </c>
      <c r="I14">
        <f t="shared" si="5"/>
        <v>0.99498275711201623</v>
      </c>
      <c r="L14">
        <v>1457.6</v>
      </c>
      <c r="M14">
        <v>-59</v>
      </c>
      <c r="N14">
        <f t="shared" si="3"/>
        <v>8119.6880471112518</v>
      </c>
      <c r="O14">
        <f t="shared" si="4"/>
        <v>-0.2552347072591693</v>
      </c>
      <c r="P14">
        <f t="shared" si="6"/>
        <v>2.1630059937217737E-3</v>
      </c>
      <c r="S14">
        <v>8119.6880471112518</v>
      </c>
      <c r="T14">
        <f t="shared" si="7"/>
        <v>-0.9690266851873548</v>
      </c>
    </row>
    <row r="15" spans="1:20" x14ac:dyDescent="0.3">
      <c r="H15">
        <f>-S3</f>
        <v>0</v>
      </c>
      <c r="I15">
        <f>T3</f>
        <v>0</v>
      </c>
    </row>
    <row r="16" spans="1:20" x14ac:dyDescent="0.3">
      <c r="H16">
        <f t="shared" ref="H16:H26" si="10">-S4</f>
        <v>-85.787044405538737</v>
      </c>
      <c r="I16">
        <f t="shared" ref="I16:I26" si="11">T4</f>
        <v>-1.2978035962330646E-2</v>
      </c>
    </row>
    <row r="17" spans="8:9" x14ac:dyDescent="0.3">
      <c r="H17">
        <f t="shared" si="10"/>
        <v>-156.5335031036129</v>
      </c>
      <c r="I17">
        <f t="shared" si="11"/>
        <v>-2.5956071924661293E-2</v>
      </c>
    </row>
    <row r="18" spans="8:9" x14ac:dyDescent="0.3">
      <c r="H18">
        <f t="shared" si="10"/>
        <v>-217.80996339328348</v>
      </c>
      <c r="I18">
        <f t="shared" si="11"/>
        <v>-3.8934107886991941E-2</v>
      </c>
    </row>
    <row r="19" spans="8:9" x14ac:dyDescent="0.3">
      <c r="H19">
        <f t="shared" si="10"/>
        <v>-247.83542893522201</v>
      </c>
      <c r="I19">
        <f t="shared" si="11"/>
        <v>-4.7586131861879037E-2</v>
      </c>
    </row>
    <row r="20" spans="8:9" x14ac:dyDescent="0.3">
      <c r="H20">
        <f t="shared" si="10"/>
        <v>-311.39583001750754</v>
      </c>
      <c r="I20">
        <f t="shared" si="11"/>
        <v>-6.4890179811653237E-2</v>
      </c>
    </row>
    <row r="21" spans="8:9" x14ac:dyDescent="0.3">
      <c r="H21">
        <f t="shared" si="10"/>
        <v>-371.55817284736588</v>
      </c>
      <c r="I21">
        <f t="shared" si="11"/>
        <v>-7.7868215773983882E-2</v>
      </c>
    </row>
    <row r="22" spans="8:9" x14ac:dyDescent="0.3">
      <c r="H22">
        <f t="shared" si="10"/>
        <v>-528.6487346808849</v>
      </c>
      <c r="I22">
        <f t="shared" si="11"/>
        <v>-0.13843238359819354</v>
      </c>
    </row>
    <row r="23" spans="8:9" x14ac:dyDescent="0.3">
      <c r="H23">
        <f t="shared" si="10"/>
        <v>-875.13926468247632</v>
      </c>
      <c r="I23">
        <f t="shared" si="11"/>
        <v>-0.27686476719638708</v>
      </c>
    </row>
    <row r="24" spans="8:9" x14ac:dyDescent="0.3">
      <c r="H24">
        <f t="shared" si="10"/>
        <v>-1394.3180009549578</v>
      </c>
      <c r="I24">
        <f t="shared" si="11"/>
        <v>-0.44557923470668548</v>
      </c>
    </row>
    <row r="25" spans="8:9" x14ac:dyDescent="0.3">
      <c r="H25">
        <f t="shared" si="10"/>
        <v>-2861.6106955276141</v>
      </c>
      <c r="I25">
        <f t="shared" si="11"/>
        <v>-0.71379197792818549</v>
      </c>
    </row>
    <row r="26" spans="8:9" x14ac:dyDescent="0.3">
      <c r="H26">
        <f t="shared" si="10"/>
        <v>-8119.6880471112518</v>
      </c>
      <c r="I26">
        <f t="shared" si="11"/>
        <v>-0.9690266851873548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4B73-4D3D-4F3B-B024-DDB0DB183203}">
  <dimension ref="A1:E61"/>
  <sheetViews>
    <sheetView zoomScaleNormal="100" workbookViewId="0">
      <selection activeCell="E8" sqref="E8"/>
    </sheetView>
  </sheetViews>
  <sheetFormatPr defaultRowHeight="14.4" x14ac:dyDescent="0.3"/>
  <sheetData>
    <row r="1" spans="1:5" x14ac:dyDescent="0.3">
      <c r="D1" t="s">
        <v>11</v>
      </c>
      <c r="E1" t="s">
        <v>18</v>
      </c>
    </row>
    <row r="2" spans="1:5" x14ac:dyDescent="0.3">
      <c r="A2">
        <v>-8121.3592233009695</v>
      </c>
      <c r="B2">
        <v>-0.994982757112016</v>
      </c>
      <c r="D2">
        <f>A2+500</f>
        <v>-7621.3592233009695</v>
      </c>
      <c r="E2">
        <f>B2</f>
        <v>-0.994982757112016</v>
      </c>
    </row>
    <row r="3" spans="1:5" x14ac:dyDescent="0.3">
      <c r="A3">
        <v>-2863.2818717173323</v>
      </c>
      <c r="B3">
        <v>-0.7527260858151773</v>
      </c>
      <c r="D3">
        <f t="shared" ref="D3:D25" si="0">A3+500</f>
        <v>-2363.2818717173323</v>
      </c>
      <c r="E3">
        <f t="shared" ref="E3:E38" si="1">B3</f>
        <v>-0.7527260858151773</v>
      </c>
    </row>
    <row r="4" spans="1:5" x14ac:dyDescent="0.3">
      <c r="A4">
        <v>-1395.0421773038356</v>
      </c>
      <c r="B4">
        <v>-0.51479542650578214</v>
      </c>
      <c r="D4">
        <f t="shared" si="0"/>
        <v>-895.04217730383562</v>
      </c>
      <c r="E4">
        <f t="shared" si="1"/>
        <v>-0.51479542650578214</v>
      </c>
    </row>
    <row r="5" spans="1:5" x14ac:dyDescent="0.3">
      <c r="A5">
        <v>-875.91914690434498</v>
      </c>
      <c r="B5">
        <v>-0.36771101893270153</v>
      </c>
      <c r="D5">
        <f t="shared" si="0"/>
        <v>-375.91914690434498</v>
      </c>
      <c r="E5">
        <f t="shared" si="1"/>
        <v>-0.36771101893270153</v>
      </c>
    </row>
    <row r="6" spans="1:5" x14ac:dyDescent="0.3">
      <c r="A6">
        <v>-529.31720515677216</v>
      </c>
      <c r="B6">
        <v>-0.25956071924661284</v>
      </c>
      <c r="D6">
        <f t="shared" si="0"/>
        <v>-29.317205156772161</v>
      </c>
      <c r="E6">
        <f t="shared" si="1"/>
        <v>-0.25956071924661284</v>
      </c>
    </row>
    <row r="7" spans="1:5" x14ac:dyDescent="0.3">
      <c r="A7">
        <v>-372.00381983129074</v>
      </c>
      <c r="B7">
        <v>-0.19899655142240316</v>
      </c>
      <c r="D7">
        <f t="shared" si="0"/>
        <v>127.99618016870926</v>
      </c>
      <c r="E7">
        <f t="shared" si="1"/>
        <v>-0.19899655142240316</v>
      </c>
    </row>
    <row r="8" spans="1:5" x14ac:dyDescent="0.3">
      <c r="A8">
        <v>-311.84147700143239</v>
      </c>
      <c r="B8">
        <v>-0.16871446751029834</v>
      </c>
      <c r="D8">
        <f t="shared" si="0"/>
        <v>188.15852299856761</v>
      </c>
      <c r="E8">
        <f t="shared" si="1"/>
        <v>-0.16871446751029834</v>
      </c>
    </row>
    <row r="9" spans="1:5" x14ac:dyDescent="0.3">
      <c r="A9">
        <v>-247.8911348082126</v>
      </c>
      <c r="B9">
        <v>-0.14275839558563705</v>
      </c>
      <c r="D9">
        <f t="shared" si="0"/>
        <v>252.1088651917874</v>
      </c>
      <c r="E9">
        <f t="shared" si="1"/>
        <v>-0.14275839558563705</v>
      </c>
    </row>
    <row r="10" spans="1:5" x14ac:dyDescent="0.3">
      <c r="A10">
        <v>-217.80996339328348</v>
      </c>
      <c r="B10">
        <v>-0.12112833564841931</v>
      </c>
      <c r="D10">
        <f t="shared" si="0"/>
        <v>282.19003660671649</v>
      </c>
      <c r="E10">
        <f t="shared" si="1"/>
        <v>-0.12112833564841931</v>
      </c>
    </row>
    <row r="11" spans="1:5" x14ac:dyDescent="0.3">
      <c r="A11">
        <v>-156.5335031036129</v>
      </c>
      <c r="B11">
        <v>-9.5172263723758019E-2</v>
      </c>
      <c r="D11">
        <f t="shared" si="0"/>
        <v>343.46649689638707</v>
      </c>
      <c r="E11">
        <f t="shared" si="1"/>
        <v>-9.5172263723758019E-2</v>
      </c>
    </row>
    <row r="12" spans="1:5" x14ac:dyDescent="0.3">
      <c r="A12">
        <v>-85.787044405538737</v>
      </c>
      <c r="B12">
        <v>-6.4890179811653181E-2</v>
      </c>
      <c r="D12">
        <f t="shared" si="0"/>
        <v>414.21295559446128</v>
      </c>
      <c r="E12">
        <f t="shared" si="1"/>
        <v>-6.4890179811653181E-2</v>
      </c>
    </row>
    <row r="13" spans="1:5" x14ac:dyDescent="0.3">
      <c r="A13">
        <v>0</v>
      </c>
      <c r="B13">
        <v>0</v>
      </c>
      <c r="D13">
        <f t="shared" si="0"/>
        <v>500</v>
      </c>
      <c r="E13">
        <f t="shared" si="1"/>
        <v>0</v>
      </c>
    </row>
    <row r="14" spans="1:5" x14ac:dyDescent="0.3">
      <c r="A14">
        <v>0</v>
      </c>
      <c r="B14">
        <v>0</v>
      </c>
      <c r="D14">
        <f t="shared" si="0"/>
        <v>500</v>
      </c>
      <c r="E14">
        <f t="shared" si="1"/>
        <v>0</v>
      </c>
    </row>
    <row r="15" spans="1:5" x14ac:dyDescent="0.3">
      <c r="A15">
        <v>85.787044405538737</v>
      </c>
      <c r="B15">
        <v>1.2978035962330646E-2</v>
      </c>
      <c r="D15">
        <f t="shared" si="0"/>
        <v>585.78704440553872</v>
      </c>
      <c r="E15">
        <f t="shared" si="1"/>
        <v>1.2978035962330646E-2</v>
      </c>
    </row>
    <row r="16" spans="1:5" x14ac:dyDescent="0.3">
      <c r="A16">
        <v>156.5335031036129</v>
      </c>
      <c r="B16">
        <v>2.5956071924661293E-2</v>
      </c>
      <c r="D16">
        <f t="shared" si="0"/>
        <v>656.53350310361293</v>
      </c>
      <c r="E16">
        <f t="shared" si="1"/>
        <v>2.5956071924661293E-2</v>
      </c>
    </row>
    <row r="17" spans="1:5" x14ac:dyDescent="0.3">
      <c r="A17">
        <v>217.80996339328348</v>
      </c>
      <c r="B17">
        <v>3.8934107886991941E-2</v>
      </c>
      <c r="D17">
        <f t="shared" si="0"/>
        <v>717.80996339328351</v>
      </c>
      <c r="E17">
        <f t="shared" si="1"/>
        <v>3.8934107886991941E-2</v>
      </c>
    </row>
    <row r="18" spans="1:5" x14ac:dyDescent="0.3">
      <c r="A18">
        <v>247.83542893522201</v>
      </c>
      <c r="B18">
        <v>4.7586131861879037E-2</v>
      </c>
      <c r="D18">
        <f t="shared" si="0"/>
        <v>747.83542893522201</v>
      </c>
      <c r="E18">
        <f t="shared" si="1"/>
        <v>4.7586131861879037E-2</v>
      </c>
    </row>
    <row r="19" spans="1:5" x14ac:dyDescent="0.3">
      <c r="A19">
        <v>311.39583001750754</v>
      </c>
      <c r="B19">
        <v>6.4890179811653237E-2</v>
      </c>
      <c r="D19">
        <f t="shared" si="0"/>
        <v>811.39583001750748</v>
      </c>
      <c r="E19">
        <f t="shared" si="1"/>
        <v>6.4890179811653237E-2</v>
      </c>
    </row>
    <row r="20" spans="1:5" x14ac:dyDescent="0.3">
      <c r="A20">
        <v>371.55817284736588</v>
      </c>
      <c r="B20">
        <v>7.7868215773983882E-2</v>
      </c>
      <c r="D20">
        <f t="shared" si="0"/>
        <v>871.55817284736588</v>
      </c>
      <c r="E20">
        <f t="shared" si="1"/>
        <v>7.7868215773983882E-2</v>
      </c>
    </row>
    <row r="21" spans="1:5" x14ac:dyDescent="0.3">
      <c r="A21">
        <v>528.6487346808849</v>
      </c>
      <c r="B21">
        <v>0.13843238359819354</v>
      </c>
      <c r="D21">
        <f t="shared" si="0"/>
        <v>1028.6487346808849</v>
      </c>
      <c r="E21">
        <f t="shared" si="1"/>
        <v>0.13843238359819354</v>
      </c>
    </row>
    <row r="22" spans="1:5" x14ac:dyDescent="0.3">
      <c r="A22">
        <v>875.13926468247632</v>
      </c>
      <c r="B22">
        <v>0.27686476719638708</v>
      </c>
      <c r="D22">
        <f t="shared" si="0"/>
        <v>1375.1392646824763</v>
      </c>
      <c r="E22">
        <f t="shared" si="1"/>
        <v>0.27686476719638708</v>
      </c>
    </row>
    <row r="23" spans="1:5" x14ac:dyDescent="0.3">
      <c r="A23">
        <v>1394.3180009549578</v>
      </c>
      <c r="B23">
        <v>0.44557923470668548</v>
      </c>
      <c r="D23">
        <f t="shared" si="0"/>
        <v>1894.3180009549578</v>
      </c>
      <c r="E23">
        <f t="shared" si="1"/>
        <v>0.44557923470668548</v>
      </c>
    </row>
    <row r="24" spans="1:5" x14ac:dyDescent="0.3">
      <c r="A24">
        <v>2861.6106955276141</v>
      </c>
      <c r="B24">
        <v>0.71379197792818549</v>
      </c>
      <c r="D24">
        <f t="shared" si="0"/>
        <v>3361.6106955276141</v>
      </c>
      <c r="E24">
        <f t="shared" si="1"/>
        <v>0.71379197792818549</v>
      </c>
    </row>
    <row r="25" spans="1:5" x14ac:dyDescent="0.3">
      <c r="A25">
        <v>8119.6880471112518</v>
      </c>
      <c r="B25">
        <v>0.9690266851873548</v>
      </c>
      <c r="D25">
        <f t="shared" si="0"/>
        <v>8619.6880471112527</v>
      </c>
      <c r="E25">
        <f t="shared" si="1"/>
        <v>0.9690266851873548</v>
      </c>
    </row>
    <row r="26" spans="1:5" x14ac:dyDescent="0.3">
      <c r="A26">
        <v>8121.3592233009695</v>
      </c>
      <c r="B26">
        <v>0.97767870916224198</v>
      </c>
      <c r="D26">
        <f>A26-500</f>
        <v>7621.3592233009695</v>
      </c>
      <c r="E26">
        <f t="shared" si="1"/>
        <v>0.97767870916224198</v>
      </c>
    </row>
    <row r="27" spans="1:5" x14ac:dyDescent="0.3">
      <c r="A27">
        <v>2863.2818717173323</v>
      </c>
      <c r="B27">
        <v>0.74407406184029035</v>
      </c>
      <c r="D27">
        <f t="shared" ref="D27:D49" si="2">A27-500</f>
        <v>2363.2818717173323</v>
      </c>
      <c r="E27">
        <f t="shared" si="1"/>
        <v>0.74407406184029035</v>
      </c>
    </row>
    <row r="28" spans="1:5" x14ac:dyDescent="0.3">
      <c r="A28">
        <v>1395.0421773038356</v>
      </c>
      <c r="B28">
        <v>0.50614340253089518</v>
      </c>
      <c r="D28">
        <f t="shared" si="2"/>
        <v>895.04217730383562</v>
      </c>
      <c r="E28">
        <f t="shared" si="1"/>
        <v>0.50614340253089518</v>
      </c>
    </row>
    <row r="29" spans="1:5" x14ac:dyDescent="0.3">
      <c r="A29">
        <v>875.91914690434498</v>
      </c>
      <c r="B29">
        <v>0.35473298297037098</v>
      </c>
      <c r="D29">
        <f t="shared" si="2"/>
        <v>375.91914690434498</v>
      </c>
      <c r="E29">
        <f t="shared" si="1"/>
        <v>0.35473298297037098</v>
      </c>
    </row>
    <row r="30" spans="1:5" x14ac:dyDescent="0.3">
      <c r="A30">
        <v>529.31720515677216</v>
      </c>
      <c r="B30">
        <v>0.24658268328428229</v>
      </c>
      <c r="D30">
        <f t="shared" si="2"/>
        <v>29.317205156772161</v>
      </c>
      <c r="E30">
        <f t="shared" si="1"/>
        <v>0.24658268328428229</v>
      </c>
    </row>
    <row r="31" spans="1:5" x14ac:dyDescent="0.3">
      <c r="A31">
        <v>372.00381983129074</v>
      </c>
      <c r="B31">
        <v>0.20332256340984681</v>
      </c>
      <c r="D31">
        <f t="shared" si="2"/>
        <v>-127.99618016870926</v>
      </c>
      <c r="E31">
        <f t="shared" si="1"/>
        <v>0.20332256340984681</v>
      </c>
    </row>
    <row r="32" spans="1:5" x14ac:dyDescent="0.3">
      <c r="A32">
        <v>311.84147700143239</v>
      </c>
      <c r="B32">
        <v>0.16871446751029842</v>
      </c>
      <c r="D32">
        <f t="shared" si="2"/>
        <v>-188.15852299856761</v>
      </c>
      <c r="E32">
        <f t="shared" si="1"/>
        <v>0.16871446751029842</v>
      </c>
    </row>
    <row r="33" spans="1:5" x14ac:dyDescent="0.3">
      <c r="A33">
        <v>247.8911348082126</v>
      </c>
      <c r="B33">
        <v>0.14275839558563713</v>
      </c>
      <c r="D33">
        <f t="shared" si="2"/>
        <v>-252.1088651917874</v>
      </c>
      <c r="E33">
        <f t="shared" si="1"/>
        <v>0.14275839558563713</v>
      </c>
    </row>
    <row r="34" spans="1:5" x14ac:dyDescent="0.3">
      <c r="A34">
        <v>217.80996339328348</v>
      </c>
      <c r="B34">
        <v>0.11680232366097584</v>
      </c>
      <c r="D34">
        <f t="shared" si="2"/>
        <v>-282.19003660671649</v>
      </c>
      <c r="E34">
        <f t="shared" si="1"/>
        <v>0.11680232366097584</v>
      </c>
    </row>
    <row r="35" spans="1:5" x14ac:dyDescent="0.3">
      <c r="A35">
        <v>156.5335031036129</v>
      </c>
      <c r="B35">
        <v>9.0846251736314554E-2</v>
      </c>
      <c r="D35">
        <f t="shared" si="2"/>
        <v>-343.46649689638707</v>
      </c>
      <c r="E35">
        <f t="shared" si="1"/>
        <v>9.0846251736314554E-2</v>
      </c>
    </row>
    <row r="36" spans="1:5" x14ac:dyDescent="0.3">
      <c r="A36">
        <v>85.787044405538737</v>
      </c>
      <c r="B36">
        <v>5.6238155836766168E-2</v>
      </c>
      <c r="D36">
        <f t="shared" si="2"/>
        <v>-414.21295559446128</v>
      </c>
      <c r="E36">
        <f t="shared" si="1"/>
        <v>5.6238155836766168E-2</v>
      </c>
    </row>
    <row r="37" spans="1:5" x14ac:dyDescent="0.3">
      <c r="A37">
        <v>0</v>
      </c>
      <c r="B37">
        <v>0</v>
      </c>
      <c r="D37">
        <f t="shared" si="2"/>
        <v>-500</v>
      </c>
      <c r="E37">
        <f t="shared" si="1"/>
        <v>0</v>
      </c>
    </row>
    <row r="38" spans="1:5" x14ac:dyDescent="0.3">
      <c r="A38">
        <v>0</v>
      </c>
      <c r="B38">
        <v>0</v>
      </c>
      <c r="D38">
        <f t="shared" si="2"/>
        <v>-500</v>
      </c>
      <c r="E38">
        <f t="shared" si="1"/>
        <v>0</v>
      </c>
    </row>
    <row r="39" spans="1:5" x14ac:dyDescent="0.3">
      <c r="A39">
        <v>-85.787044405538737</v>
      </c>
      <c r="B39">
        <v>-1.2978035962330646E-2</v>
      </c>
      <c r="D39">
        <f t="shared" si="2"/>
        <v>-585.78704440553872</v>
      </c>
      <c r="E39">
        <f>B39*1.2</f>
        <v>-1.5573643154796774E-2</v>
      </c>
    </row>
    <row r="40" spans="1:5" x14ac:dyDescent="0.3">
      <c r="A40">
        <v>-156.5335031036129</v>
      </c>
      <c r="B40">
        <v>-2.1630059937217741E-2</v>
      </c>
      <c r="D40">
        <f t="shared" si="2"/>
        <v>-656.53350310361293</v>
      </c>
      <c r="E40">
        <f t="shared" ref="E40:E49" si="3">B40*1.2</f>
        <v>-2.5956071924661289E-2</v>
      </c>
    </row>
    <row r="41" spans="1:5" x14ac:dyDescent="0.3">
      <c r="A41">
        <v>-217.80996339328348</v>
      </c>
      <c r="B41">
        <v>-3.4608095899548386E-2</v>
      </c>
      <c r="D41">
        <f t="shared" si="2"/>
        <v>-717.80996339328351</v>
      </c>
      <c r="E41">
        <f t="shared" si="3"/>
        <v>-4.152971507945806E-2</v>
      </c>
    </row>
    <row r="42" spans="1:5" x14ac:dyDescent="0.3">
      <c r="A42">
        <v>-247.83542893522201</v>
      </c>
      <c r="B42">
        <v>-5.1912143849322578E-2</v>
      </c>
      <c r="D42">
        <f t="shared" si="2"/>
        <v>-747.83542893522201</v>
      </c>
      <c r="E42">
        <f t="shared" si="3"/>
        <v>-6.229457261918709E-2</v>
      </c>
    </row>
    <row r="43" spans="1:5" x14ac:dyDescent="0.3">
      <c r="A43">
        <v>-311.39583001750754</v>
      </c>
      <c r="B43">
        <v>-6.9216191799096771E-2</v>
      </c>
      <c r="D43">
        <f t="shared" si="2"/>
        <v>-811.39583001750748</v>
      </c>
      <c r="E43">
        <f t="shared" si="3"/>
        <v>-8.305943015891612E-2</v>
      </c>
    </row>
    <row r="44" spans="1:5" x14ac:dyDescent="0.3">
      <c r="A44">
        <v>-371.55817284736588</v>
      </c>
      <c r="B44">
        <v>-8.2194227761427416E-2</v>
      </c>
      <c r="D44">
        <f t="shared" si="2"/>
        <v>-871.55817284736588</v>
      </c>
      <c r="E44">
        <f t="shared" si="3"/>
        <v>-9.8633073313712891E-2</v>
      </c>
    </row>
    <row r="45" spans="1:5" x14ac:dyDescent="0.3">
      <c r="A45">
        <v>-528.6487346808849</v>
      </c>
      <c r="B45">
        <v>-0.13410637161075001</v>
      </c>
      <c r="D45">
        <f t="shared" si="2"/>
        <v>-1028.6487346808849</v>
      </c>
      <c r="E45">
        <f t="shared" si="3"/>
        <v>-0.16092764593290002</v>
      </c>
    </row>
    <row r="46" spans="1:5" x14ac:dyDescent="0.3">
      <c r="A46">
        <v>-875.13926468247632</v>
      </c>
      <c r="B46">
        <v>-0.24658268328428226</v>
      </c>
      <c r="D46">
        <f t="shared" si="2"/>
        <v>-1375.1392646824763</v>
      </c>
      <c r="E46">
        <f t="shared" si="3"/>
        <v>-0.29589921994113871</v>
      </c>
    </row>
    <row r="47" spans="1:5" x14ac:dyDescent="0.3">
      <c r="A47">
        <v>-1394.3180009549578</v>
      </c>
      <c r="B47">
        <v>-0.38934107886991931</v>
      </c>
      <c r="D47">
        <f t="shared" si="2"/>
        <v>-1894.3180009549578</v>
      </c>
      <c r="E47">
        <f t="shared" si="3"/>
        <v>-0.46720929464390315</v>
      </c>
    </row>
    <row r="48" spans="1:5" x14ac:dyDescent="0.3">
      <c r="A48">
        <v>-2861.6106955276141</v>
      </c>
      <c r="B48">
        <v>-0.61429370221698387</v>
      </c>
      <c r="D48">
        <f t="shared" si="2"/>
        <v>-3361.6106955276141</v>
      </c>
      <c r="E48">
        <f t="shared" si="3"/>
        <v>-0.7371524426603806</v>
      </c>
    </row>
    <row r="49" spans="1:5" x14ac:dyDescent="0.3">
      <c r="A49">
        <v>-8119.6880471112518</v>
      </c>
      <c r="B49">
        <v>-0.83492031357660479</v>
      </c>
      <c r="D49">
        <f t="shared" si="2"/>
        <v>-8619.6880471112527</v>
      </c>
      <c r="E49">
        <f t="shared" si="3"/>
        <v>-1.0019043762919257</v>
      </c>
    </row>
    <row r="50" spans="1:5" x14ac:dyDescent="0.3">
      <c r="A50">
        <v>0</v>
      </c>
      <c r="B50">
        <v>0</v>
      </c>
      <c r="D50">
        <f>A50</f>
        <v>0</v>
      </c>
      <c r="E50">
        <f>B50*0.4</f>
        <v>0</v>
      </c>
    </row>
    <row r="51" spans="1:5" x14ac:dyDescent="0.3">
      <c r="A51">
        <v>85.229985675632662</v>
      </c>
      <c r="B51">
        <v>3.4608095899548386E-2</v>
      </c>
      <c r="D51">
        <f>A51</f>
        <v>85.229985675632662</v>
      </c>
      <c r="E51">
        <f>B51*0.4</f>
        <v>1.3843238359819356E-2</v>
      </c>
    </row>
    <row r="52" spans="1:5" x14ac:dyDescent="0.3">
      <c r="A52">
        <v>156.5335031036129</v>
      </c>
      <c r="B52">
        <v>0.10815029968608869</v>
      </c>
      <c r="D52">
        <f t="shared" ref="D52:D61" si="4">A52</f>
        <v>156.5335031036129</v>
      </c>
      <c r="E52">
        <f t="shared" ref="E52:E61" si="5">B52*0.4</f>
        <v>4.3260119874435482E-2</v>
      </c>
    </row>
    <row r="53" spans="1:5" x14ac:dyDescent="0.3">
      <c r="A53">
        <v>217.80996339328348</v>
      </c>
      <c r="B53">
        <v>0.29849482713360481</v>
      </c>
      <c r="D53">
        <f t="shared" si="4"/>
        <v>217.80996339328348</v>
      </c>
      <c r="E53">
        <f t="shared" si="5"/>
        <v>0.11939793085344193</v>
      </c>
    </row>
    <row r="54" spans="1:5" x14ac:dyDescent="0.3">
      <c r="A54">
        <v>247.8911348082126</v>
      </c>
      <c r="B54">
        <v>0.39366709085736284</v>
      </c>
      <c r="D54">
        <f t="shared" si="4"/>
        <v>247.8911348082126</v>
      </c>
      <c r="E54">
        <f t="shared" si="5"/>
        <v>0.15746683634294514</v>
      </c>
    </row>
    <row r="55" spans="1:5" x14ac:dyDescent="0.3">
      <c r="A55">
        <v>311.39583001750754</v>
      </c>
      <c r="B55">
        <v>0.58833763029232256</v>
      </c>
      <c r="D55">
        <f t="shared" si="4"/>
        <v>311.39583001750754</v>
      </c>
      <c r="E55">
        <f t="shared" si="5"/>
        <v>0.23533505211692904</v>
      </c>
    </row>
    <row r="56" spans="1:5" x14ac:dyDescent="0.3">
      <c r="A56">
        <v>371.55817284736588</v>
      </c>
      <c r="B56">
        <v>0.70513995395329832</v>
      </c>
      <c r="D56">
        <f t="shared" si="4"/>
        <v>371.55817284736588</v>
      </c>
      <c r="E56">
        <f t="shared" si="5"/>
        <v>0.28205598158131934</v>
      </c>
    </row>
    <row r="57" spans="1:5" x14ac:dyDescent="0.3">
      <c r="A57">
        <v>528.6487346808849</v>
      </c>
      <c r="B57">
        <v>0.9690266851873548</v>
      </c>
      <c r="D57">
        <f t="shared" si="4"/>
        <v>528.6487346808849</v>
      </c>
      <c r="E57">
        <f t="shared" si="5"/>
        <v>0.38761067407494193</v>
      </c>
    </row>
    <row r="58" spans="1:5" x14ac:dyDescent="0.3">
      <c r="A58">
        <v>875.69632341238241</v>
      </c>
      <c r="B58">
        <v>1.2761735362958466</v>
      </c>
      <c r="D58">
        <f t="shared" si="4"/>
        <v>875.69632341238241</v>
      </c>
      <c r="E58">
        <f t="shared" si="5"/>
        <v>0.51046941451833872</v>
      </c>
    </row>
    <row r="59" spans="1:5" x14ac:dyDescent="0.3">
      <c r="A59">
        <v>1394.875059684864</v>
      </c>
      <c r="B59">
        <v>1.5357342555424593</v>
      </c>
      <c r="D59">
        <f t="shared" si="4"/>
        <v>1394.875059684864</v>
      </c>
      <c r="E59">
        <f t="shared" si="5"/>
        <v>0.61429370221698376</v>
      </c>
    </row>
    <row r="60" spans="1:5" x14ac:dyDescent="0.3">
      <c r="A60">
        <v>2862.7248129874265</v>
      </c>
      <c r="B60">
        <v>1.8774892025504997</v>
      </c>
      <c r="D60">
        <f t="shared" si="4"/>
        <v>2862.7248129874265</v>
      </c>
      <c r="E60">
        <f t="shared" si="5"/>
        <v>0.75099568102019987</v>
      </c>
    </row>
    <row r="61" spans="1:5" x14ac:dyDescent="0.3">
      <c r="A61">
        <v>8119.6880471112518</v>
      </c>
      <c r="B61">
        <v>2.1846360536589917</v>
      </c>
      <c r="D61">
        <f t="shared" si="4"/>
        <v>8119.6880471112518</v>
      </c>
      <c r="E61">
        <f t="shared" si="5"/>
        <v>0.87385442146359671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C0A6-FB9A-41C9-AC1A-904916D348AA}">
  <dimension ref="A1:K48"/>
  <sheetViews>
    <sheetView zoomScale="36" workbookViewId="0">
      <selection activeCell="AE72" sqref="AE72"/>
    </sheetView>
  </sheetViews>
  <sheetFormatPr defaultRowHeight="14.4" x14ac:dyDescent="0.3"/>
  <cols>
    <col min="5" max="5" width="12.77734375" bestFit="1" customWidth="1"/>
    <col min="7" max="7" width="9" bestFit="1" customWidth="1"/>
    <col min="8" max="8" width="12.77734375" bestFit="1" customWidth="1"/>
    <col min="10" max="11" width="9" bestFit="1" customWidth="1"/>
  </cols>
  <sheetData>
    <row r="1" spans="1:11" x14ac:dyDescent="0.3">
      <c r="A1">
        <v>-8121.3592233009695</v>
      </c>
      <c r="B1">
        <v>-0.994982757112016</v>
      </c>
    </row>
    <row r="2" spans="1:11" x14ac:dyDescent="0.3">
      <c r="A2">
        <v>-2863.2818717173323</v>
      </c>
      <c r="B2">
        <v>-0.7527260858151773</v>
      </c>
    </row>
    <row r="3" spans="1:11" x14ac:dyDescent="0.3">
      <c r="A3">
        <v>-1395.0421773038356</v>
      </c>
      <c r="B3">
        <v>-0.51479542650578214</v>
      </c>
    </row>
    <row r="4" spans="1:11" x14ac:dyDescent="0.3">
      <c r="A4">
        <v>-875.91914690434498</v>
      </c>
      <c r="B4">
        <v>-0.36771101893270153</v>
      </c>
    </row>
    <row r="5" spans="1:11" x14ac:dyDescent="0.3">
      <c r="A5">
        <v>-529.31720515677216</v>
      </c>
      <c r="B5">
        <v>-0.25956071924661284</v>
      </c>
    </row>
    <row r="6" spans="1:11" x14ac:dyDescent="0.3">
      <c r="A6">
        <v>-372.00381983129074</v>
      </c>
      <c r="B6">
        <v>-0.19899655142240316</v>
      </c>
    </row>
    <row r="7" spans="1:11" x14ac:dyDescent="0.3">
      <c r="A7">
        <v>-311.84147700143239</v>
      </c>
      <c r="B7">
        <v>-0.16871446751029834</v>
      </c>
    </row>
    <row r="8" spans="1:11" x14ac:dyDescent="0.3">
      <c r="A8">
        <v>-247.8911348082126</v>
      </c>
      <c r="B8">
        <v>-0.14275839558563705</v>
      </c>
    </row>
    <row r="9" spans="1:11" x14ac:dyDescent="0.3">
      <c r="A9">
        <v>-217.80996339328348</v>
      </c>
      <c r="B9">
        <v>-0.12112833564841931</v>
      </c>
    </row>
    <row r="10" spans="1:11" x14ac:dyDescent="0.3">
      <c r="A10">
        <v>-156.5335031036129</v>
      </c>
      <c r="B10">
        <v>-9.5172263723758019E-2</v>
      </c>
    </row>
    <row r="11" spans="1:11" x14ac:dyDescent="0.3">
      <c r="A11">
        <v>-85.787044405538737</v>
      </c>
      <c r="B11">
        <v>-6.4890179811653181E-2</v>
      </c>
    </row>
    <row r="12" spans="1:11" x14ac:dyDescent="0.3">
      <c r="A12">
        <v>0</v>
      </c>
      <c r="B12">
        <v>0</v>
      </c>
    </row>
    <row r="13" spans="1:11" x14ac:dyDescent="0.3">
      <c r="A13">
        <v>0</v>
      </c>
      <c r="B13">
        <v>0</v>
      </c>
      <c r="D13">
        <v>0</v>
      </c>
      <c r="E13">
        <v>0</v>
      </c>
      <c r="G13">
        <v>0</v>
      </c>
      <c r="H13">
        <v>0</v>
      </c>
      <c r="J13">
        <f>G13-4060</f>
        <v>-4060</v>
      </c>
      <c r="K13">
        <f>H13-0.5</f>
        <v>-0.5</v>
      </c>
    </row>
    <row r="14" spans="1:11" x14ac:dyDescent="0.3">
      <c r="A14">
        <v>85.787044405538737</v>
      </c>
      <c r="B14">
        <v>1.2978035962330646E-2</v>
      </c>
      <c r="D14">
        <v>85.787044405538737</v>
      </c>
      <c r="E14">
        <v>1.2978035962330646E-2</v>
      </c>
      <c r="G14">
        <v>85.787044405538737</v>
      </c>
      <c r="H14">
        <v>1.2978035962330646E-2</v>
      </c>
      <c r="J14">
        <f t="shared" ref="J14:J36" si="0">G14-4060</f>
        <v>-3974.2129555944612</v>
      </c>
      <c r="K14">
        <f t="shared" ref="K14:K36" si="1">H14-0.5</f>
        <v>-0.48702196403766934</v>
      </c>
    </row>
    <row r="15" spans="1:11" x14ac:dyDescent="0.3">
      <c r="A15">
        <v>156.5335031036129</v>
      </c>
      <c r="B15">
        <v>2.5956071924661293E-2</v>
      </c>
      <c r="D15">
        <v>156.5335031036129</v>
      </c>
      <c r="E15">
        <v>2.5956071924661293E-2</v>
      </c>
      <c r="G15">
        <v>156.5335031036129</v>
      </c>
      <c r="H15">
        <v>2.5956071924661293E-2</v>
      </c>
      <c r="J15">
        <f t="shared" si="0"/>
        <v>-3903.4664968963871</v>
      </c>
      <c r="K15">
        <f t="shared" si="1"/>
        <v>-0.47404392807533868</v>
      </c>
    </row>
    <row r="16" spans="1:11" x14ac:dyDescent="0.3">
      <c r="A16">
        <v>217.80996339328348</v>
      </c>
      <c r="B16">
        <v>3.8934107886991941E-2</v>
      </c>
      <c r="D16">
        <v>217.80996339328348</v>
      </c>
      <c r="E16">
        <v>3.8934107886991941E-2</v>
      </c>
      <c r="G16">
        <v>217.80996339328348</v>
      </c>
      <c r="H16">
        <v>3.8934107886991941E-2</v>
      </c>
      <c r="J16">
        <f t="shared" si="0"/>
        <v>-3842.1900366067166</v>
      </c>
      <c r="K16">
        <f t="shared" si="1"/>
        <v>-0.46106589211300808</v>
      </c>
    </row>
    <row r="17" spans="1:11" x14ac:dyDescent="0.3">
      <c r="A17">
        <v>247.83542893522201</v>
      </c>
      <c r="B17">
        <v>4.7586131861879037E-2</v>
      </c>
      <c r="D17">
        <v>247.83542893522201</v>
      </c>
      <c r="E17">
        <v>4.7586131861879037E-2</v>
      </c>
      <c r="G17">
        <v>247.83542893522201</v>
      </c>
      <c r="H17">
        <v>4.7586131861879037E-2</v>
      </c>
      <c r="J17">
        <f t="shared" si="0"/>
        <v>-3812.1645710647781</v>
      </c>
      <c r="K17">
        <f t="shared" si="1"/>
        <v>-0.45241386813812096</v>
      </c>
    </row>
    <row r="18" spans="1:11" x14ac:dyDescent="0.3">
      <c r="A18">
        <v>311.39583001750754</v>
      </c>
      <c r="B18">
        <v>6.4890179811653237E-2</v>
      </c>
      <c r="D18">
        <v>311.39583001750754</v>
      </c>
      <c r="E18">
        <v>6.4890179811653237E-2</v>
      </c>
      <c r="G18">
        <v>311.39583001750754</v>
      </c>
      <c r="H18">
        <v>6.4890179811653237E-2</v>
      </c>
      <c r="J18">
        <f t="shared" si="0"/>
        <v>-3748.6041699824923</v>
      </c>
      <c r="K18">
        <f t="shared" si="1"/>
        <v>-0.43510982018834676</v>
      </c>
    </row>
    <row r="19" spans="1:11" x14ac:dyDescent="0.3">
      <c r="A19">
        <v>371.55817284736588</v>
      </c>
      <c r="B19">
        <v>7.7868215773983882E-2</v>
      </c>
      <c r="D19">
        <v>371.55817284736588</v>
      </c>
      <c r="E19">
        <v>7.7868215773983882E-2</v>
      </c>
      <c r="G19">
        <v>371.55817284736588</v>
      </c>
      <c r="H19">
        <v>7.7868215773983882E-2</v>
      </c>
      <c r="J19">
        <f t="shared" si="0"/>
        <v>-3688.4418271526342</v>
      </c>
      <c r="K19">
        <f t="shared" si="1"/>
        <v>-0.4221317842260161</v>
      </c>
    </row>
    <row r="20" spans="1:11" x14ac:dyDescent="0.3">
      <c r="A20">
        <v>528.6487346808849</v>
      </c>
      <c r="B20">
        <v>0.13843238359819354</v>
      </c>
      <c r="D20">
        <v>528.6487346808849</v>
      </c>
      <c r="E20">
        <v>0.13843238359819354</v>
      </c>
      <c r="G20">
        <v>528.6487346808849</v>
      </c>
      <c r="H20">
        <v>0.13843238359819354</v>
      </c>
      <c r="J20">
        <f t="shared" si="0"/>
        <v>-3531.3512653191151</v>
      </c>
      <c r="K20">
        <f t="shared" si="1"/>
        <v>-0.36156761640180646</v>
      </c>
    </row>
    <row r="21" spans="1:11" x14ac:dyDescent="0.3">
      <c r="A21">
        <v>875.13926468247632</v>
      </c>
      <c r="B21">
        <v>0.27686476719638708</v>
      </c>
      <c r="D21">
        <v>875.13926468247632</v>
      </c>
      <c r="E21">
        <v>0.27686476719638708</v>
      </c>
      <c r="G21">
        <v>875.13926468247632</v>
      </c>
      <c r="H21">
        <v>0.27686476719638708</v>
      </c>
      <c r="J21">
        <f t="shared" si="0"/>
        <v>-3184.8607353175239</v>
      </c>
      <c r="K21">
        <f t="shared" si="1"/>
        <v>-0.22313523280361292</v>
      </c>
    </row>
    <row r="22" spans="1:11" x14ac:dyDescent="0.3">
      <c r="A22">
        <v>1394.3180009549578</v>
      </c>
      <c r="B22">
        <v>0.44557923470668548</v>
      </c>
      <c r="D22">
        <v>1394.3180009549578</v>
      </c>
      <c r="E22">
        <v>0.44557923470668548</v>
      </c>
      <c r="G22">
        <v>1394.3180009549578</v>
      </c>
      <c r="H22">
        <v>0.44557923470668548</v>
      </c>
      <c r="J22">
        <f t="shared" si="0"/>
        <v>-2665.6819990450422</v>
      </c>
      <c r="K22">
        <f t="shared" si="1"/>
        <v>-5.4420765293314521E-2</v>
      </c>
    </row>
    <row r="23" spans="1:11" x14ac:dyDescent="0.3">
      <c r="A23">
        <v>2861.6106955276141</v>
      </c>
      <c r="B23">
        <v>0.71379197792818549</v>
      </c>
      <c r="D23">
        <v>2861.6106955276141</v>
      </c>
      <c r="E23">
        <v>0.71379197792818549</v>
      </c>
      <c r="G23">
        <v>2861.6106955276141</v>
      </c>
      <c r="H23">
        <v>0.71379197792818549</v>
      </c>
      <c r="J23">
        <f t="shared" si="0"/>
        <v>-1198.3893044723859</v>
      </c>
      <c r="K23">
        <f t="shared" si="1"/>
        <v>0.21379197792818549</v>
      </c>
    </row>
    <row r="24" spans="1:11" x14ac:dyDescent="0.3">
      <c r="A24">
        <v>8119.6880471112518</v>
      </c>
      <c r="B24">
        <v>0.9690266851873548</v>
      </c>
      <c r="D24">
        <v>8119.6880471112518</v>
      </c>
      <c r="E24">
        <v>0.9690266851873548</v>
      </c>
      <c r="G24">
        <v>8119.6880471112518</v>
      </c>
      <c r="H24">
        <v>0.9690266851873548</v>
      </c>
      <c r="J24">
        <f t="shared" si="0"/>
        <v>4059.6880471112518</v>
      </c>
      <c r="K24">
        <f t="shared" si="1"/>
        <v>0.4690266851873548</v>
      </c>
    </row>
    <row r="25" spans="1:11" x14ac:dyDescent="0.3">
      <c r="A25">
        <f>-A1</f>
        <v>8121.3592233009695</v>
      </c>
      <c r="B25">
        <f>-B1</f>
        <v>0.994982757112016</v>
      </c>
      <c r="D25">
        <f>A1+8121.36</f>
        <v>7.766990302116028E-4</v>
      </c>
      <c r="E25">
        <f>B1+0.99498</f>
        <v>-2.7571120160274631E-6</v>
      </c>
      <c r="G25">
        <v>8121.36</v>
      </c>
      <c r="H25">
        <v>0.99497999999999998</v>
      </c>
      <c r="J25">
        <f t="shared" si="0"/>
        <v>4061.3599999999997</v>
      </c>
      <c r="K25">
        <f t="shared" si="1"/>
        <v>0.49497999999999998</v>
      </c>
    </row>
    <row r="26" spans="1:11" x14ac:dyDescent="0.3">
      <c r="A26">
        <f>-A2</f>
        <v>2863.2818717173323</v>
      </c>
      <c r="B26">
        <f>-B2</f>
        <v>0.7527260858151773</v>
      </c>
      <c r="D26">
        <f t="shared" ref="D26:D36" si="2">A2+8121.36</f>
        <v>5258.0781282826674</v>
      </c>
      <c r="E26">
        <f t="shared" ref="E26:E36" si="3">B2+0.99498</f>
        <v>0.24225391418482267</v>
      </c>
      <c r="G26">
        <v>8035.5729555944608</v>
      </c>
      <c r="H26">
        <v>0.93008982018834674</v>
      </c>
      <c r="J26">
        <f t="shared" si="0"/>
        <v>3975.5729555944608</v>
      </c>
      <c r="K26">
        <f t="shared" si="1"/>
        <v>0.43008982018834674</v>
      </c>
    </row>
    <row r="27" spans="1:11" x14ac:dyDescent="0.3">
      <c r="A27">
        <f>-A3</f>
        <v>1395.0421773038356</v>
      </c>
      <c r="B27">
        <f>-B3</f>
        <v>0.51479542650578214</v>
      </c>
      <c r="D27">
        <f t="shared" si="2"/>
        <v>6726.3178226961645</v>
      </c>
      <c r="E27">
        <f t="shared" si="3"/>
        <v>0.48018457349421784</v>
      </c>
      <c r="G27">
        <v>7964.8264968963867</v>
      </c>
      <c r="H27">
        <v>0.899807736276242</v>
      </c>
      <c r="J27">
        <f t="shared" si="0"/>
        <v>3904.8264968963867</v>
      </c>
      <c r="K27">
        <f t="shared" si="1"/>
        <v>0.399807736276242</v>
      </c>
    </row>
    <row r="28" spans="1:11" x14ac:dyDescent="0.3">
      <c r="A28">
        <f>-A4</f>
        <v>875.91914690434498</v>
      </c>
      <c r="B28">
        <f>-B4</f>
        <v>0.36771101893270153</v>
      </c>
      <c r="D28">
        <f t="shared" si="2"/>
        <v>7245.4408530956543</v>
      </c>
      <c r="E28">
        <f t="shared" si="3"/>
        <v>0.62726898106729845</v>
      </c>
      <c r="G28">
        <v>7903.5500366067163</v>
      </c>
      <c r="H28">
        <v>0.87385166435158068</v>
      </c>
      <c r="J28">
        <f t="shared" si="0"/>
        <v>3843.5500366067163</v>
      </c>
      <c r="K28">
        <f t="shared" si="1"/>
        <v>0.37385166435158068</v>
      </c>
    </row>
    <row r="29" spans="1:11" x14ac:dyDescent="0.3">
      <c r="A29">
        <f>-A5</f>
        <v>529.31720515677216</v>
      </c>
      <c r="B29">
        <f>-B5</f>
        <v>0.25956071924661284</v>
      </c>
      <c r="D29">
        <f t="shared" si="2"/>
        <v>7592.042794843228</v>
      </c>
      <c r="E29">
        <f t="shared" si="3"/>
        <v>0.73541928075338714</v>
      </c>
      <c r="G29">
        <v>7873.4688651917868</v>
      </c>
      <c r="H29">
        <v>0.8522216044143629</v>
      </c>
      <c r="J29">
        <f t="shared" si="0"/>
        <v>3813.4688651917868</v>
      </c>
      <c r="K29">
        <f t="shared" si="1"/>
        <v>0.3522216044143629</v>
      </c>
    </row>
    <row r="30" spans="1:11" x14ac:dyDescent="0.3">
      <c r="A30">
        <f>-A6</f>
        <v>372.00381983129074</v>
      </c>
      <c r="B30">
        <f>-B6</f>
        <v>0.19899655142240316</v>
      </c>
      <c r="D30">
        <f t="shared" si="2"/>
        <v>7749.3561801687092</v>
      </c>
      <c r="E30">
        <f t="shared" si="3"/>
        <v>0.79598344857759684</v>
      </c>
      <c r="G30">
        <v>7809.5185229985673</v>
      </c>
      <c r="H30">
        <v>0.82626553248970169</v>
      </c>
      <c r="J30">
        <f t="shared" si="0"/>
        <v>3749.5185229985673</v>
      </c>
      <c r="K30">
        <f t="shared" si="1"/>
        <v>0.32626553248970169</v>
      </c>
    </row>
    <row r="31" spans="1:11" x14ac:dyDescent="0.3">
      <c r="A31">
        <f>-A7</f>
        <v>311.84147700143239</v>
      </c>
      <c r="B31">
        <f>-B7</f>
        <v>0.16871446751029834</v>
      </c>
      <c r="D31">
        <f t="shared" si="2"/>
        <v>7809.5185229985673</v>
      </c>
      <c r="E31">
        <f t="shared" si="3"/>
        <v>0.82626553248970169</v>
      </c>
      <c r="G31">
        <v>7749.3561801687092</v>
      </c>
      <c r="H31">
        <v>0.79598344857759684</v>
      </c>
      <c r="J31">
        <f t="shared" si="0"/>
        <v>3689.3561801687092</v>
      </c>
      <c r="K31">
        <f t="shared" si="1"/>
        <v>0.29598344857759684</v>
      </c>
    </row>
    <row r="32" spans="1:11" x14ac:dyDescent="0.3">
      <c r="A32">
        <f>-A8</f>
        <v>247.8911348082126</v>
      </c>
      <c r="B32">
        <f>-B8</f>
        <v>0.14275839558563705</v>
      </c>
      <c r="D32">
        <f t="shared" si="2"/>
        <v>7873.4688651917868</v>
      </c>
      <c r="E32">
        <f t="shared" si="3"/>
        <v>0.8522216044143629</v>
      </c>
      <c r="G32">
        <v>7592.042794843228</v>
      </c>
      <c r="H32">
        <v>0.73541928075338714</v>
      </c>
      <c r="J32">
        <f t="shared" si="0"/>
        <v>3532.042794843228</v>
      </c>
      <c r="K32">
        <f t="shared" si="1"/>
        <v>0.23541928075338714</v>
      </c>
    </row>
    <row r="33" spans="1:11" x14ac:dyDescent="0.3">
      <c r="A33">
        <f>-A9</f>
        <v>217.80996339328348</v>
      </c>
      <c r="B33">
        <f>-B9</f>
        <v>0.12112833564841931</v>
      </c>
      <c r="D33">
        <f t="shared" si="2"/>
        <v>7903.5500366067163</v>
      </c>
      <c r="E33">
        <f t="shared" si="3"/>
        <v>0.87385166435158068</v>
      </c>
      <c r="G33">
        <v>7245.4408530956543</v>
      </c>
      <c r="H33">
        <v>0.62726898106729845</v>
      </c>
      <c r="J33">
        <f t="shared" si="0"/>
        <v>3185.4408530956543</v>
      </c>
      <c r="K33">
        <f t="shared" si="1"/>
        <v>0.12726898106729845</v>
      </c>
    </row>
    <row r="34" spans="1:11" x14ac:dyDescent="0.3">
      <c r="A34">
        <f>-A10</f>
        <v>156.5335031036129</v>
      </c>
      <c r="B34">
        <f>-B10</f>
        <v>9.5172263723758019E-2</v>
      </c>
      <c r="D34">
        <f t="shared" si="2"/>
        <v>7964.8264968963867</v>
      </c>
      <c r="E34">
        <f t="shared" si="3"/>
        <v>0.899807736276242</v>
      </c>
      <c r="G34">
        <v>6726.3178226961645</v>
      </c>
      <c r="H34">
        <v>0.48018457349421784</v>
      </c>
      <c r="J34">
        <f t="shared" si="0"/>
        <v>2666.3178226961645</v>
      </c>
      <c r="K34">
        <f t="shared" si="1"/>
        <v>-1.9815426505782163E-2</v>
      </c>
    </row>
    <row r="35" spans="1:11" x14ac:dyDescent="0.3">
      <c r="A35">
        <f>-A11</f>
        <v>85.787044405538737</v>
      </c>
      <c r="B35">
        <f>-B11</f>
        <v>6.4890179811653181E-2</v>
      </c>
      <c r="D35">
        <f t="shared" si="2"/>
        <v>8035.5729555944608</v>
      </c>
      <c r="E35">
        <f t="shared" si="3"/>
        <v>0.93008982018834674</v>
      </c>
      <c r="G35">
        <v>5258.0781282826674</v>
      </c>
      <c r="H35">
        <v>0.24225391418482267</v>
      </c>
      <c r="J35">
        <f t="shared" si="0"/>
        <v>1198.0781282826674</v>
      </c>
      <c r="K35">
        <f t="shared" si="1"/>
        <v>-0.25774608581517733</v>
      </c>
    </row>
    <row r="36" spans="1:11" x14ac:dyDescent="0.3">
      <c r="A36">
        <f>-A12</f>
        <v>0</v>
      </c>
      <c r="B36">
        <f>-B12</f>
        <v>0</v>
      </c>
      <c r="D36">
        <f t="shared" si="2"/>
        <v>8121.36</v>
      </c>
      <c r="E36">
        <f t="shared" si="3"/>
        <v>0.99497999999999998</v>
      </c>
      <c r="G36">
        <v>7.766990302116028E-4</v>
      </c>
      <c r="H36">
        <v>-2.7571120160274631E-6</v>
      </c>
      <c r="J36">
        <f t="shared" si="0"/>
        <v>-4059.9992233009698</v>
      </c>
      <c r="K36">
        <f t="shared" si="1"/>
        <v>-0.50000275711201603</v>
      </c>
    </row>
    <row r="37" spans="1:11" x14ac:dyDescent="0.3">
      <c r="A37">
        <v>0</v>
      </c>
      <c r="B37">
        <v>0</v>
      </c>
      <c r="J37">
        <f>A37/2</f>
        <v>0</v>
      </c>
      <c r="K37">
        <f>B37/4.4</f>
        <v>0</v>
      </c>
    </row>
    <row r="38" spans="1:11" x14ac:dyDescent="0.3">
      <c r="A38">
        <v>85.229985675632662</v>
      </c>
      <c r="B38">
        <v>3.4608095899548386E-2</v>
      </c>
      <c r="J38">
        <f t="shared" ref="J38:J48" si="4">A38/2</f>
        <v>42.614992837816331</v>
      </c>
      <c r="K38">
        <f t="shared" ref="K38:K48" si="5">B38/4.4</f>
        <v>7.8654763408064505E-3</v>
      </c>
    </row>
    <row r="39" spans="1:11" x14ac:dyDescent="0.3">
      <c r="A39">
        <v>156.5335031036129</v>
      </c>
      <c r="B39">
        <v>0.10815029968608869</v>
      </c>
      <c r="J39">
        <f t="shared" si="4"/>
        <v>78.26675155180645</v>
      </c>
      <c r="K39">
        <f t="shared" si="5"/>
        <v>2.4579613565020156E-2</v>
      </c>
    </row>
    <row r="40" spans="1:11" x14ac:dyDescent="0.3">
      <c r="A40">
        <v>217.80996339328348</v>
      </c>
      <c r="B40">
        <v>0.29849482713360481</v>
      </c>
      <c r="J40">
        <f t="shared" si="4"/>
        <v>108.90498169664174</v>
      </c>
      <c r="K40">
        <f t="shared" si="5"/>
        <v>6.7839733439455638E-2</v>
      </c>
    </row>
    <row r="41" spans="1:11" x14ac:dyDescent="0.3">
      <c r="A41">
        <v>247.8911348082126</v>
      </c>
      <c r="B41">
        <v>0.39366709085736284</v>
      </c>
      <c r="J41">
        <f t="shared" si="4"/>
        <v>123.9455674041063</v>
      </c>
      <c r="K41">
        <f t="shared" si="5"/>
        <v>8.9469793376673365E-2</v>
      </c>
    </row>
    <row r="42" spans="1:11" x14ac:dyDescent="0.3">
      <c r="A42">
        <v>311.39583001750754</v>
      </c>
      <c r="B42">
        <v>0.58833763029232256</v>
      </c>
      <c r="J42">
        <f t="shared" si="4"/>
        <v>155.69791500875377</v>
      </c>
      <c r="K42">
        <f t="shared" si="5"/>
        <v>0.13371309779370966</v>
      </c>
    </row>
    <row r="43" spans="1:11" x14ac:dyDescent="0.3">
      <c r="A43">
        <v>371.55817284736588</v>
      </c>
      <c r="B43">
        <v>0.70513995395329832</v>
      </c>
      <c r="J43">
        <f t="shared" si="4"/>
        <v>185.77908642368294</v>
      </c>
      <c r="K43">
        <f t="shared" si="5"/>
        <v>0.16025908044393142</v>
      </c>
    </row>
    <row r="44" spans="1:11" x14ac:dyDescent="0.3">
      <c r="A44">
        <v>528.6487346808849</v>
      </c>
      <c r="B44">
        <v>0.9690266851873548</v>
      </c>
      <c r="J44">
        <f t="shared" si="4"/>
        <v>264.32436734044245</v>
      </c>
      <c r="K44">
        <f t="shared" si="5"/>
        <v>0.22023333754258062</v>
      </c>
    </row>
    <row r="45" spans="1:11" x14ac:dyDescent="0.3">
      <c r="A45">
        <v>875.69632341238241</v>
      </c>
      <c r="B45">
        <v>1.2761735362958466</v>
      </c>
      <c r="J45">
        <f t="shared" si="4"/>
        <v>437.84816170619121</v>
      </c>
      <c r="K45">
        <f t="shared" si="5"/>
        <v>0.29003944006723786</v>
      </c>
    </row>
    <row r="46" spans="1:11" x14ac:dyDescent="0.3">
      <c r="A46">
        <v>1394.875059684864</v>
      </c>
      <c r="B46">
        <v>1.5357342555424593</v>
      </c>
      <c r="J46">
        <f t="shared" si="4"/>
        <v>697.43752984243201</v>
      </c>
      <c r="K46">
        <f t="shared" si="5"/>
        <v>0.34903051262328616</v>
      </c>
    </row>
    <row r="47" spans="1:11" x14ac:dyDescent="0.3">
      <c r="A47">
        <v>2862.7248129874265</v>
      </c>
      <c r="B47">
        <v>1.8774892025504997</v>
      </c>
      <c r="J47">
        <f t="shared" si="4"/>
        <v>1431.3624064937133</v>
      </c>
      <c r="K47">
        <f t="shared" si="5"/>
        <v>0.42670209148874988</v>
      </c>
    </row>
    <row r="48" spans="1:11" x14ac:dyDescent="0.3">
      <c r="A48">
        <v>8119.6880471112518</v>
      </c>
      <c r="B48">
        <v>2.1846360536589917</v>
      </c>
      <c r="J48">
        <f t="shared" si="4"/>
        <v>4059.8440235556259</v>
      </c>
      <c r="K48">
        <f t="shared" si="5"/>
        <v>0.49650819401340718</v>
      </c>
    </row>
  </sheetData>
  <sortState xmlns:xlrd2="http://schemas.microsoft.com/office/spreadsheetml/2017/richdata2" ref="G25:H36">
    <sortCondition descending="1" ref="G25:G36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C104-B604-4DE8-9AAC-0D7FDB5EFED0}">
  <dimension ref="A1:S36"/>
  <sheetViews>
    <sheetView tabSelected="1" topLeftCell="N19" workbookViewId="0">
      <selection activeCell="R33" sqref="R33"/>
    </sheetView>
  </sheetViews>
  <sheetFormatPr defaultRowHeight="14.4" x14ac:dyDescent="0.3"/>
  <sheetData>
    <row r="1" spans="1:19" x14ac:dyDescent="0.3">
      <c r="O1">
        <v>-4060</v>
      </c>
      <c r="P1">
        <v>-0.5</v>
      </c>
      <c r="R1">
        <f>O1/28</f>
        <v>-145</v>
      </c>
      <c r="S1">
        <f>P1*3.7</f>
        <v>-1.85</v>
      </c>
    </row>
    <row r="2" spans="1:19" x14ac:dyDescent="0.3">
      <c r="A2">
        <v>0</v>
      </c>
      <c r="B2">
        <v>0</v>
      </c>
      <c r="D2">
        <f>A2</f>
        <v>0</v>
      </c>
      <c r="E2">
        <f>B2</f>
        <v>0</v>
      </c>
      <c r="G2" s="3">
        <f>A2 - 2*( (A2-$D$2)*(-($E$3-$E$2)) + (B2-$E$2)*($D$3-$D$2) ) * (-($E$3-$E$2)) / ( (-($E$3-$E$2))^2 + (($D$3-$D$2))^2 )</f>
        <v>0</v>
      </c>
      <c r="H2" s="3">
        <f>B2 - 2*( (A2-$D$2)*(-($E$3-$E$2)) + (B2-$E$2)*($D$3-$D$2) ) * ($D$3-$D$2) / ( (-($E$3-$E$2))^2 + (($D$3-$D$2))^2 )</f>
        <v>0</v>
      </c>
      <c r="O2">
        <v>-3974.2129555944612</v>
      </c>
      <c r="P2">
        <v>-0.48702196403766934</v>
      </c>
      <c r="R2">
        <f t="shared" ref="R2:R24" si="0">O2/28</f>
        <v>-141.93617698551648</v>
      </c>
      <c r="S2">
        <f t="shared" ref="S2:S24" si="1">P2*3.7</f>
        <v>-1.8019812669393767</v>
      </c>
    </row>
    <row r="3" spans="1:19" x14ac:dyDescent="0.3">
      <c r="A3">
        <v>42.614992837816331</v>
      </c>
      <c r="B3">
        <v>7.8654763408064505E-3</v>
      </c>
      <c r="D3">
        <f>A13</f>
        <v>4059.8440235556259</v>
      </c>
      <c r="E3">
        <f>B13</f>
        <v>0.49650819401340718</v>
      </c>
      <c r="G3" s="3">
        <f t="shared" ref="G3:G13" si="2">A3 - 2*( (A3-$D$2)*(-($E$3-$E$2)) + (B3-$E$2)*($D$3-$D$2) ) * (-($E$3-$E$2)) / ( (-($E$3-$E$2))^2 + (($D$3-$D$2))^2 )</f>
        <v>42.614993486915743</v>
      </c>
      <c r="H3" s="3">
        <f t="shared" ref="H3:H13" si="3">B3 - 2*( (A3-$D$2)*(-($E$3-$E$2)) + (B3-$E$2)*($D$3-$D$2) ) * ($D$3-$D$2) / ( (-($E$3-$E$2))^2 + (($D$3-$D$2))^2 )</f>
        <v>2.5579257259602424E-3</v>
      </c>
      <c r="O3">
        <v>-3903.4664968963871</v>
      </c>
      <c r="P3">
        <v>-0.47404392807533868</v>
      </c>
      <c r="R3">
        <f t="shared" si="0"/>
        <v>-139.40951774629954</v>
      </c>
      <c r="S3">
        <f t="shared" si="1"/>
        <v>-1.7539625338787532</v>
      </c>
    </row>
    <row r="4" spans="1:19" x14ac:dyDescent="0.3">
      <c r="A4">
        <v>78.26675155180645</v>
      </c>
      <c r="B4">
        <v>2.4579613565020156E-2</v>
      </c>
      <c r="G4" s="3">
        <f t="shared" si="2"/>
        <v>78.266755222634146</v>
      </c>
      <c r="H4" s="3">
        <f t="shared" si="3"/>
        <v>-5.4359794006969275E-3</v>
      </c>
      <c r="O4">
        <v>-3842.1900366067166</v>
      </c>
      <c r="P4">
        <v>-0.46106589211300808</v>
      </c>
      <c r="R4">
        <f t="shared" si="0"/>
        <v>-137.22107273595415</v>
      </c>
      <c r="S4">
        <f t="shared" si="1"/>
        <v>-1.70594380081813</v>
      </c>
    </row>
    <row r="5" spans="1:19" x14ac:dyDescent="0.3">
      <c r="A5">
        <v>108.90498169664174</v>
      </c>
      <c r="B5">
        <v>6.7839733439455638E-2</v>
      </c>
      <c r="G5" s="3">
        <f t="shared" si="2"/>
        <v>108.90499503217576</v>
      </c>
      <c r="H5" s="3">
        <f t="shared" si="3"/>
        <v>-4.1202148951908241E-2</v>
      </c>
      <c r="O5">
        <v>-3812.1645710647781</v>
      </c>
      <c r="P5">
        <v>-0.45241386813812096</v>
      </c>
      <c r="R5">
        <f t="shared" si="0"/>
        <v>-136.14873468088493</v>
      </c>
      <c r="S5">
        <f t="shared" si="1"/>
        <v>-1.6739313121110475</v>
      </c>
    </row>
    <row r="6" spans="1:19" x14ac:dyDescent="0.3">
      <c r="A6">
        <v>123.9455674041063</v>
      </c>
      <c r="B6">
        <v>8.9469793376673365E-2</v>
      </c>
      <c r="G6" s="3">
        <f t="shared" si="2"/>
        <v>123.94558558032521</v>
      </c>
      <c r="H6" s="3">
        <f t="shared" si="3"/>
        <v>-5.9153360536869967E-2</v>
      </c>
      <c r="O6">
        <v>-3748.6041699824923</v>
      </c>
      <c r="P6">
        <v>-0.43510982018834676</v>
      </c>
      <c r="R6">
        <f t="shared" si="0"/>
        <v>-133.87872035651759</v>
      </c>
      <c r="S6">
        <f t="shared" si="1"/>
        <v>-1.6099063346968832</v>
      </c>
    </row>
    <row r="7" spans="1:19" x14ac:dyDescent="0.3">
      <c r="A7">
        <v>155.69791500875377</v>
      </c>
      <c r="B7">
        <v>0.13371309779370966</v>
      </c>
      <c r="G7" s="3">
        <f t="shared" si="2"/>
        <v>155.69794305683385</v>
      </c>
      <c r="H7" s="3">
        <f t="shared" si="3"/>
        <v>-9.5630207363847392E-2</v>
      </c>
      <c r="O7">
        <v>-3688.4418271526342</v>
      </c>
      <c r="P7">
        <v>-0.4221317842260161</v>
      </c>
      <c r="R7">
        <f t="shared" si="0"/>
        <v>-131.73006525545122</v>
      </c>
      <c r="S7">
        <f t="shared" si="1"/>
        <v>-1.5618876016362597</v>
      </c>
    </row>
    <row r="8" spans="1:19" x14ac:dyDescent="0.3">
      <c r="A8">
        <v>185.77908642368294</v>
      </c>
      <c r="B8">
        <v>0.16025908044393142</v>
      </c>
      <c r="G8" s="3">
        <f t="shared" si="2"/>
        <v>185.77912006494324</v>
      </c>
      <c r="H8" s="3">
        <f t="shared" si="3"/>
        <v>-0.11481849380953188</v>
      </c>
      <c r="O8">
        <v>-3531.3512653191151</v>
      </c>
      <c r="P8">
        <v>-0.36156761640180646</v>
      </c>
      <c r="R8">
        <f t="shared" si="0"/>
        <v>-126.11968804711125</v>
      </c>
      <c r="S8">
        <f t="shared" si="1"/>
        <v>-1.3378001806866839</v>
      </c>
    </row>
    <row r="9" spans="1:19" x14ac:dyDescent="0.3">
      <c r="A9">
        <v>264.32436734044245</v>
      </c>
      <c r="B9">
        <v>0.22023333754258062</v>
      </c>
      <c r="G9" s="3">
        <f t="shared" si="2"/>
        <v>264.32441330154131</v>
      </c>
      <c r="H9" s="3">
        <f t="shared" si="3"/>
        <v>-0.15558098887573169</v>
      </c>
      <c r="O9">
        <v>-3184.8607353175239</v>
      </c>
      <c r="P9">
        <v>-0.22313523280361292</v>
      </c>
      <c r="R9">
        <f t="shared" si="0"/>
        <v>-113.74502626134014</v>
      </c>
      <c r="S9">
        <f t="shared" si="1"/>
        <v>-0.82560036137336779</v>
      </c>
    </row>
    <row r="10" spans="1:19" x14ac:dyDescent="0.3">
      <c r="A10">
        <v>437.84816170619121</v>
      </c>
      <c r="B10">
        <v>0.29003944006723786</v>
      </c>
      <c r="G10" s="3">
        <f t="shared" si="2"/>
        <v>437.84821955082651</v>
      </c>
      <c r="H10" s="3">
        <f t="shared" si="3"/>
        <v>-0.18294408708340404</v>
      </c>
      <c r="O10">
        <v>-2665.6819990450422</v>
      </c>
      <c r="P10">
        <v>-5.4420765293314521E-2</v>
      </c>
      <c r="R10">
        <f t="shared" si="0"/>
        <v>-95.202928537322933</v>
      </c>
      <c r="S10">
        <f t="shared" si="1"/>
        <v>-0.20135683158526374</v>
      </c>
    </row>
    <row r="11" spans="1:19" x14ac:dyDescent="0.3">
      <c r="A11">
        <v>697.43752984243201</v>
      </c>
      <c r="B11">
        <v>0.34903051262328616</v>
      </c>
      <c r="G11" s="3">
        <f t="shared" si="2"/>
        <v>697.4375943508004</v>
      </c>
      <c r="H11" s="3">
        <f t="shared" si="3"/>
        <v>-0.17844097155494326</v>
      </c>
      <c r="O11">
        <v>-1198.3893044723859</v>
      </c>
      <c r="P11">
        <v>0.21379197792818549</v>
      </c>
      <c r="R11">
        <f t="shared" si="0"/>
        <v>-42.799618016870923</v>
      </c>
      <c r="S11">
        <f t="shared" si="1"/>
        <v>0.79103031833428639</v>
      </c>
    </row>
    <row r="12" spans="1:19" x14ac:dyDescent="0.3">
      <c r="A12">
        <v>1431.3624064937133</v>
      </c>
      <c r="B12">
        <v>0.42670209148874988</v>
      </c>
      <c r="G12" s="3">
        <f t="shared" si="2"/>
        <v>1431.3624680460339</v>
      </c>
      <c r="H12" s="3">
        <f t="shared" si="3"/>
        <v>-7.659840544365154E-2</v>
      </c>
      <c r="O12">
        <v>4059.6880471112518</v>
      </c>
      <c r="P12">
        <v>0.4690266851873548</v>
      </c>
      <c r="R12">
        <f t="shared" si="0"/>
        <v>144.98885882540185</v>
      </c>
      <c r="S12">
        <f t="shared" si="1"/>
        <v>1.7353987351932127</v>
      </c>
    </row>
    <row r="13" spans="1:19" x14ac:dyDescent="0.3">
      <c r="A13">
        <v>4059.8440235556259</v>
      </c>
      <c r="B13">
        <v>0.49650819401340718</v>
      </c>
      <c r="G13" s="3">
        <f t="shared" si="2"/>
        <v>4059.8440235556259</v>
      </c>
      <c r="H13" s="3">
        <f t="shared" si="3"/>
        <v>0.49650819401340718</v>
      </c>
      <c r="O13">
        <v>4061.3599999999997</v>
      </c>
      <c r="P13">
        <v>0.49497999999999998</v>
      </c>
      <c r="R13">
        <f t="shared" si="0"/>
        <v>145.04857142857142</v>
      </c>
      <c r="S13">
        <f t="shared" si="1"/>
        <v>1.831426</v>
      </c>
    </row>
    <row r="14" spans="1:19" x14ac:dyDescent="0.3">
      <c r="O14">
        <v>3975.5729555944608</v>
      </c>
      <c r="P14">
        <v>0.43008982018834674</v>
      </c>
      <c r="R14">
        <f t="shared" si="0"/>
        <v>141.98474841408787</v>
      </c>
      <c r="S14">
        <f t="shared" si="1"/>
        <v>1.5913323346968831</v>
      </c>
    </row>
    <row r="15" spans="1:19" x14ac:dyDescent="0.3">
      <c r="O15">
        <v>3904.8264968963867</v>
      </c>
      <c r="P15">
        <v>0.399807736276242</v>
      </c>
      <c r="R15">
        <f t="shared" si="0"/>
        <v>139.45808917487096</v>
      </c>
      <c r="S15">
        <f t="shared" si="1"/>
        <v>1.4792886242220955</v>
      </c>
    </row>
    <row r="16" spans="1:19" x14ac:dyDescent="0.3">
      <c r="O16">
        <v>3843.5500366067163</v>
      </c>
      <c r="P16">
        <v>0.37385166435158068</v>
      </c>
      <c r="R16">
        <f t="shared" si="0"/>
        <v>137.26964416452557</v>
      </c>
      <c r="S16">
        <f t="shared" si="1"/>
        <v>1.3832511581008486</v>
      </c>
    </row>
    <row r="17" spans="8:19" x14ac:dyDescent="0.3">
      <c r="O17">
        <v>3813.4688651917868</v>
      </c>
      <c r="P17">
        <v>0.3522216044143629</v>
      </c>
      <c r="R17">
        <f t="shared" si="0"/>
        <v>136.19531661399239</v>
      </c>
      <c r="S17">
        <f t="shared" si="1"/>
        <v>1.3032199363331427</v>
      </c>
    </row>
    <row r="18" spans="8:19" x14ac:dyDescent="0.3">
      <c r="O18">
        <v>3749.5185229985673</v>
      </c>
      <c r="P18">
        <v>0.32626553248970169</v>
      </c>
      <c r="R18">
        <f t="shared" si="0"/>
        <v>133.91137582137739</v>
      </c>
      <c r="S18">
        <f t="shared" si="1"/>
        <v>1.2071824702118963</v>
      </c>
    </row>
    <row r="19" spans="8:19" x14ac:dyDescent="0.3">
      <c r="H19">
        <v>0</v>
      </c>
      <c r="I19">
        <v>0</v>
      </c>
      <c r="O19">
        <v>3689.3561801687092</v>
      </c>
      <c r="P19">
        <v>0.29598344857759684</v>
      </c>
      <c r="R19">
        <f t="shared" si="0"/>
        <v>131.76272072031105</v>
      </c>
      <c r="S19">
        <f t="shared" si="1"/>
        <v>1.0951387597371083</v>
      </c>
    </row>
    <row r="20" spans="8:19" x14ac:dyDescent="0.3">
      <c r="H20">
        <v>42.614992839999999</v>
      </c>
      <c r="I20">
        <v>7.8654850000000002E-3</v>
      </c>
      <c r="O20">
        <v>3532.042794843228</v>
      </c>
      <c r="P20">
        <v>0.23541928075338714</v>
      </c>
      <c r="R20">
        <f t="shared" si="0"/>
        <v>126.14438553011529</v>
      </c>
      <c r="S20">
        <f t="shared" si="1"/>
        <v>0.87105133878753249</v>
      </c>
    </row>
    <row r="21" spans="8:19" x14ac:dyDescent="0.3">
      <c r="H21">
        <v>78.266751549999995</v>
      </c>
      <c r="I21">
        <v>2.4579666999999999E-2</v>
      </c>
      <c r="O21">
        <v>3185.4408530956543</v>
      </c>
      <c r="P21">
        <v>0.12726898106729845</v>
      </c>
      <c r="R21">
        <f t="shared" si="0"/>
        <v>113.76574475341623</v>
      </c>
      <c r="S21">
        <f t="shared" si="1"/>
        <v>0.47089522994900429</v>
      </c>
    </row>
    <row r="22" spans="8:19" x14ac:dyDescent="0.3">
      <c r="H22">
        <v>108.90498169999999</v>
      </c>
      <c r="I22">
        <v>6.7839842999999997E-2</v>
      </c>
      <c r="O22">
        <v>2666.3178226961645</v>
      </c>
      <c r="P22">
        <v>-1.9815426505782163E-2</v>
      </c>
      <c r="R22">
        <f t="shared" si="0"/>
        <v>95.22563652486302</v>
      </c>
      <c r="S22">
        <f t="shared" si="1"/>
        <v>-7.331707807139401E-2</v>
      </c>
    </row>
    <row r="23" spans="8:19" x14ac:dyDescent="0.3">
      <c r="H23">
        <v>123.9455674</v>
      </c>
      <c r="I23">
        <v>8.9469931000000003E-2</v>
      </c>
      <c r="O23">
        <v>1198.0781282826674</v>
      </c>
      <c r="P23">
        <v>-0.25774608581517733</v>
      </c>
      <c r="R23">
        <f t="shared" si="0"/>
        <v>42.788504581523839</v>
      </c>
      <c r="S23">
        <f t="shared" si="1"/>
        <v>-0.95366051751615621</v>
      </c>
    </row>
    <row r="24" spans="8:19" x14ac:dyDescent="0.3">
      <c r="H24">
        <v>155.69791499999999</v>
      </c>
      <c r="I24">
        <v>0.13371328499999999</v>
      </c>
      <c r="O24">
        <v>-4059.9992233009698</v>
      </c>
      <c r="P24">
        <v>-0.50000275711201603</v>
      </c>
      <c r="R24">
        <f t="shared" si="0"/>
        <v>-144.99997226074893</v>
      </c>
      <c r="S24">
        <f t="shared" si="1"/>
        <v>-1.8500102013144595</v>
      </c>
    </row>
    <row r="25" spans="8:19" ht="15" x14ac:dyDescent="0.35">
      <c r="H25">
        <v>185.77908640000001</v>
      </c>
      <c r="I25">
        <v>0.16025930799999999</v>
      </c>
      <c r="O25" s="4"/>
      <c r="R25">
        <f>A2/28</f>
        <v>0</v>
      </c>
      <c r="S25">
        <f>B2*3.7</f>
        <v>0</v>
      </c>
    </row>
    <row r="26" spans="8:19" ht="15" x14ac:dyDescent="0.35">
      <c r="H26">
        <v>264.32436730000001</v>
      </c>
      <c r="I26">
        <v>0.22023363100000001</v>
      </c>
      <c r="O26" s="4"/>
      <c r="R26">
        <f t="shared" ref="R26:R36" si="4">A3/28</f>
        <v>1.5219640299220119</v>
      </c>
      <c r="S26">
        <f>B3*2.5</f>
        <v>1.9663690852016125E-2</v>
      </c>
    </row>
    <row r="27" spans="8:19" ht="15" x14ac:dyDescent="0.35">
      <c r="H27">
        <v>437.84816169999999</v>
      </c>
      <c r="I27">
        <v>0.290039822</v>
      </c>
      <c r="O27" s="4"/>
      <c r="R27">
        <f t="shared" si="4"/>
        <v>2.7952411268502302</v>
      </c>
      <c r="S27">
        <f t="shared" ref="S27:S35" si="5">B4*2.5</f>
        <v>6.144903391255039E-2</v>
      </c>
    </row>
    <row r="28" spans="8:19" ht="15" x14ac:dyDescent="0.35">
      <c r="H28">
        <v>697.43752979999999</v>
      </c>
      <c r="I28">
        <v>0.34903099300000001</v>
      </c>
      <c r="O28" s="4"/>
      <c r="R28">
        <f t="shared" si="4"/>
        <v>3.8894636320229194</v>
      </c>
      <c r="S28">
        <f t="shared" si="5"/>
        <v>0.1695993335986391</v>
      </c>
    </row>
    <row r="29" spans="8:19" ht="15" x14ac:dyDescent="0.35">
      <c r="H29">
        <v>1431.362406</v>
      </c>
      <c r="I29">
        <v>0.42670267699999997</v>
      </c>
      <c r="O29" s="4"/>
      <c r="R29">
        <f t="shared" si="4"/>
        <v>4.4266274072895104</v>
      </c>
      <c r="S29">
        <f t="shared" si="5"/>
        <v>0.22367448344168342</v>
      </c>
    </row>
    <row r="30" spans="8:19" ht="15" x14ac:dyDescent="0.35">
      <c r="H30">
        <v>4059.844024</v>
      </c>
      <c r="I30">
        <v>0.49650819400000001</v>
      </c>
      <c r="O30" s="4"/>
      <c r="R30">
        <f t="shared" si="4"/>
        <v>5.5606398217412059</v>
      </c>
      <c r="S30">
        <f t="shared" si="5"/>
        <v>0.33428274448427414</v>
      </c>
    </row>
    <row r="31" spans="8:19" ht="15" x14ac:dyDescent="0.35">
      <c r="O31" s="4"/>
      <c r="R31">
        <f t="shared" si="4"/>
        <v>6.6349673722743905</v>
      </c>
      <c r="S31">
        <f t="shared" si="5"/>
        <v>0.40064770110982856</v>
      </c>
    </row>
    <row r="32" spans="8:19" ht="15" x14ac:dyDescent="0.35">
      <c r="O32" s="4"/>
      <c r="R32">
        <f t="shared" si="4"/>
        <v>9.4401559764443732</v>
      </c>
      <c r="S32">
        <f>B9*2.5</f>
        <v>0.55058334385645158</v>
      </c>
    </row>
    <row r="33" spans="15:19" ht="15" x14ac:dyDescent="0.35">
      <c r="O33" s="4"/>
      <c r="R33">
        <f t="shared" si="4"/>
        <v>15.637434346649686</v>
      </c>
      <c r="S33">
        <f t="shared" si="5"/>
        <v>0.72509860016809469</v>
      </c>
    </row>
    <row r="34" spans="15:19" ht="15" x14ac:dyDescent="0.35">
      <c r="O34" s="4"/>
      <c r="R34">
        <f t="shared" si="4"/>
        <v>24.908483208658286</v>
      </c>
      <c r="S34">
        <f t="shared" si="5"/>
        <v>0.87257628155821543</v>
      </c>
    </row>
    <row r="35" spans="15:19" ht="15" x14ac:dyDescent="0.35">
      <c r="O35" s="4"/>
      <c r="R35">
        <f t="shared" si="4"/>
        <v>51.120085946204043</v>
      </c>
      <c r="S35">
        <f t="shared" si="5"/>
        <v>1.0667552287218747</v>
      </c>
    </row>
    <row r="36" spans="15:19" ht="15" x14ac:dyDescent="0.35">
      <c r="O36" s="4"/>
      <c r="R36">
        <f t="shared" si="4"/>
        <v>144.99442941270092</v>
      </c>
      <c r="S36">
        <f>B13*3.7</f>
        <v>1.8370803178496067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Лист2</vt:lpstr>
      <vt:lpstr>Лист3</vt:lpstr>
      <vt:lpstr>Графики</vt:lpstr>
      <vt:lpstr>Для латеха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2025-09-16T06:57:14Z</dcterms:created>
  <dcterms:modified xsi:type="dcterms:W3CDTF">2025-09-21T22:47:24Z</dcterms:modified>
</cp:coreProperties>
</file>