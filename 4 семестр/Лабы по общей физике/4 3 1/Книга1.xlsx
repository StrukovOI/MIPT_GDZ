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ezh\OneDrive\Рабочий стол\Лабы\4 семестр\4 3 1\"/>
    </mc:Choice>
  </mc:AlternateContent>
  <xr:revisionPtr revIDLastSave="0" documentId="13_ncr:1_{289944DA-AFBF-4B63-B008-91B33C1ED4EC}" xr6:coauthVersionLast="47" xr6:coauthVersionMax="47" xr10:uidLastSave="{00000000-0000-0000-0000-000000000000}"/>
  <bookViews>
    <workbookView xWindow="-108" yWindow="-108" windowWidth="23256" windowHeight="13896" activeTab="1" xr2:uid="{01D3E224-A68A-41DF-B3D1-8B86760D9B24}"/>
  </bookViews>
  <sheets>
    <sheet name="Френель" sheetId="1" r:id="rId1"/>
    <sheet name="Фраунгофер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4" i="2" l="1"/>
  <c r="K15" i="2"/>
  <c r="K16" i="2"/>
  <c r="K17" i="2"/>
  <c r="K18" i="2"/>
  <c r="K19" i="2"/>
  <c r="K20" i="2"/>
  <c r="K21" i="2"/>
  <c r="K13" i="2"/>
  <c r="L14" i="2"/>
  <c r="L15" i="2"/>
  <c r="L16" i="2"/>
  <c r="L17" i="2"/>
  <c r="L18" i="2"/>
  <c r="L19" i="2"/>
  <c r="L20" i="2"/>
  <c r="L21" i="2"/>
  <c r="L13" i="2"/>
  <c r="H2" i="2"/>
  <c r="H3" i="2"/>
  <c r="H4" i="2"/>
  <c r="H5" i="2"/>
  <c r="H6" i="2"/>
  <c r="H7" i="2"/>
  <c r="H8" i="2"/>
  <c r="H9" i="2"/>
  <c r="H10" i="2"/>
  <c r="G3" i="2"/>
  <c r="G4" i="2"/>
  <c r="G5" i="2"/>
  <c r="G6" i="2"/>
  <c r="G7" i="2"/>
  <c r="G8" i="2"/>
  <c r="G9" i="2"/>
  <c r="G10" i="2"/>
  <c r="G11" i="2"/>
  <c r="G2" i="2"/>
  <c r="K4" i="1"/>
  <c r="K5" i="1"/>
  <c r="K6" i="1"/>
  <c r="K7" i="1"/>
  <c r="K3" i="1"/>
  <c r="J4" i="1"/>
  <c r="J5" i="1"/>
  <c r="J6" i="1"/>
  <c r="J7" i="1"/>
  <c r="J8" i="1"/>
  <c r="J3" i="1"/>
  <c r="F2" i="1"/>
  <c r="E1" i="1"/>
  <c r="E2" i="1"/>
  <c r="F4" i="1"/>
  <c r="F5" i="1"/>
  <c r="F6" i="1"/>
  <c r="F7" i="1"/>
  <c r="E3" i="1"/>
  <c r="F3" i="1" s="1"/>
  <c r="E4" i="1"/>
  <c r="E5" i="1"/>
  <c r="E6" i="1"/>
  <c r="E7" i="1"/>
  <c r="K8" i="1" s="1"/>
  <c r="D3" i="1"/>
  <c r="D4" i="1"/>
  <c r="D5" i="1"/>
  <c r="D6" i="1"/>
  <c r="D7" i="1"/>
  <c r="D2" i="1"/>
</calcChain>
</file>

<file path=xl/sharedStrings.xml><?xml version="1.0" encoding="utf-8"?>
<sst xmlns="http://schemas.openxmlformats.org/spreadsheetml/2006/main" count="11" uniqueCount="8">
  <si>
    <t>z, см</t>
  </si>
  <si>
    <t>n+1</t>
  </si>
  <si>
    <t>m</t>
  </si>
  <si>
    <t>Лево</t>
  </si>
  <si>
    <t>Право</t>
  </si>
  <si>
    <t>x_л, мкм</t>
  </si>
  <si>
    <t>х_п, мкм</t>
  </si>
  <si>
    <t>x_m, мкм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</si>
</sst>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Френель!$D$2:$D$7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Френель!$F$2:$F$7</c:f>
              <c:numCache>
                <c:formatCode>General</c:formatCode>
                <c:ptCount val="6"/>
                <c:pt idx="0">
                  <c:v>0.14492753623188423</c:v>
                </c:pt>
                <c:pt idx="1">
                  <c:v>0.25</c:v>
                </c:pt>
                <c:pt idx="2">
                  <c:v>0.34482758620689757</c:v>
                </c:pt>
                <c:pt idx="3">
                  <c:v>0.43478260869565272</c:v>
                </c:pt>
                <c:pt idx="4">
                  <c:v>0.52631578947368662</c:v>
                </c:pt>
                <c:pt idx="5">
                  <c:v>0.62500000000000222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6E-4101-B53C-0C013528CD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6356960"/>
        <c:axId val="1756375200"/>
      </c:scatterChart>
      <c:valAx>
        <c:axId val="175635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56375200"/>
        <c:crosses val="autoZero"/>
        <c:crossBetween val="midCat"/>
      </c:valAx>
      <c:valAx>
        <c:axId val="1756375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56356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579120</xdr:colOff>
      <xdr:row>10</xdr:row>
      <xdr:rowOff>41910</xdr:rowOff>
    </xdr:from>
    <xdr:to>
      <xdr:col>16</xdr:col>
      <xdr:colOff>274320</xdr:colOff>
      <xdr:row>25</xdr:row>
      <xdr:rowOff>41910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5A7D9FB-2011-A226-71D2-D68348EC14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2205F-4AA0-4BF2-B141-7651F18B9A7B}">
  <dimension ref="A1:K8"/>
  <sheetViews>
    <sheetView workbookViewId="0">
      <selection activeCell="B8" sqref="B8"/>
    </sheetView>
  </sheetViews>
  <sheetFormatPr defaultRowHeight="14.4" x14ac:dyDescent="0.3"/>
  <sheetData>
    <row r="1" spans="1:11" x14ac:dyDescent="0.3">
      <c r="A1">
        <v>0</v>
      </c>
      <c r="B1">
        <v>101.3</v>
      </c>
      <c r="D1">
        <v>0</v>
      </c>
      <c r="E1">
        <f>B$1-B1</f>
        <v>0</v>
      </c>
      <c r="F1">
        <v>0</v>
      </c>
    </row>
    <row r="2" spans="1:11" x14ac:dyDescent="0.3">
      <c r="A2">
        <v>1</v>
      </c>
      <c r="B2">
        <v>94.4</v>
      </c>
      <c r="D2">
        <f>A2</f>
        <v>1</v>
      </c>
      <c r="E2">
        <f>B$1-B2</f>
        <v>6.8999999999999915</v>
      </c>
      <c r="F2">
        <f>1/E2</f>
        <v>0.14492753623188423</v>
      </c>
      <c r="J2" t="s">
        <v>1</v>
      </c>
      <c r="K2" t="s">
        <v>0</v>
      </c>
    </row>
    <row r="3" spans="1:11" x14ac:dyDescent="0.3">
      <c r="A3">
        <v>2</v>
      </c>
      <c r="B3">
        <v>97.3</v>
      </c>
      <c r="D3">
        <f t="shared" ref="D3:D7" si="0">A3</f>
        <v>2</v>
      </c>
      <c r="E3">
        <f t="shared" ref="E3:E7" si="1">B$1-B3</f>
        <v>4</v>
      </c>
      <c r="F3">
        <f t="shared" ref="F3:F7" si="2">1/E3</f>
        <v>0.25</v>
      </c>
      <c r="J3">
        <f>D2+1</f>
        <v>2</v>
      </c>
      <c r="K3">
        <f>E2</f>
        <v>6.8999999999999915</v>
      </c>
    </row>
    <row r="4" spans="1:11" x14ac:dyDescent="0.3">
      <c r="A4">
        <v>3</v>
      </c>
      <c r="B4">
        <v>98.4</v>
      </c>
      <c r="D4">
        <f t="shared" si="0"/>
        <v>3</v>
      </c>
      <c r="E4">
        <f t="shared" si="1"/>
        <v>2.8999999999999915</v>
      </c>
      <c r="F4">
        <f t="shared" si="2"/>
        <v>0.34482758620689757</v>
      </c>
      <c r="J4">
        <f t="shared" ref="J4:J8" si="3">D3+1</f>
        <v>3</v>
      </c>
      <c r="K4">
        <f t="shared" ref="K4:K8" si="4">E3</f>
        <v>4</v>
      </c>
    </row>
    <row r="5" spans="1:11" x14ac:dyDescent="0.3">
      <c r="A5">
        <v>4</v>
      </c>
      <c r="B5">
        <v>99</v>
      </c>
      <c r="D5">
        <f t="shared" si="0"/>
        <v>4</v>
      </c>
      <c r="E5">
        <f t="shared" si="1"/>
        <v>2.2999999999999972</v>
      </c>
      <c r="F5">
        <f t="shared" si="2"/>
        <v>0.43478260869565272</v>
      </c>
      <c r="J5">
        <f t="shared" si="3"/>
        <v>4</v>
      </c>
      <c r="K5">
        <f t="shared" si="4"/>
        <v>2.8999999999999915</v>
      </c>
    </row>
    <row r="6" spans="1:11" x14ac:dyDescent="0.3">
      <c r="A6">
        <v>5</v>
      </c>
      <c r="B6">
        <v>99.4</v>
      </c>
      <c r="D6">
        <f t="shared" si="0"/>
        <v>5</v>
      </c>
      <c r="E6">
        <f t="shared" si="1"/>
        <v>1.8999999999999915</v>
      </c>
      <c r="F6">
        <f t="shared" si="2"/>
        <v>0.52631578947368662</v>
      </c>
      <c r="J6">
        <f t="shared" si="3"/>
        <v>5</v>
      </c>
      <c r="K6">
        <f t="shared" si="4"/>
        <v>2.2999999999999972</v>
      </c>
    </row>
    <row r="7" spans="1:11" x14ac:dyDescent="0.3">
      <c r="A7">
        <v>6</v>
      </c>
      <c r="B7">
        <v>99.7</v>
      </c>
      <c r="D7">
        <f t="shared" si="0"/>
        <v>6</v>
      </c>
      <c r="E7">
        <f t="shared" si="1"/>
        <v>1.5999999999999943</v>
      </c>
      <c r="F7">
        <f t="shared" si="2"/>
        <v>0.62500000000000222</v>
      </c>
      <c r="J7">
        <f t="shared" si="3"/>
        <v>6</v>
      </c>
      <c r="K7">
        <f t="shared" si="4"/>
        <v>1.8999999999999915</v>
      </c>
    </row>
    <row r="8" spans="1:11" x14ac:dyDescent="0.3">
      <c r="J8">
        <f t="shared" si="3"/>
        <v>7</v>
      </c>
      <c r="K8">
        <f t="shared" si="4"/>
        <v>1.5999999999999943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8F030-492C-4AA8-A832-5AA22D2A613D}">
  <dimension ref="A1:M21"/>
  <sheetViews>
    <sheetView tabSelected="1" workbookViewId="0">
      <selection activeCell="K1" sqref="K1:L21"/>
    </sheetView>
  </sheetViews>
  <sheetFormatPr defaultRowHeight="14.4" x14ac:dyDescent="0.3"/>
  <cols>
    <col min="12" max="13" width="10.44140625" bestFit="1" customWidth="1"/>
  </cols>
  <sheetData>
    <row r="1" spans="1:13" x14ac:dyDescent="0.3">
      <c r="A1" t="s">
        <v>2</v>
      </c>
      <c r="B1" t="s">
        <v>3</v>
      </c>
      <c r="C1" t="s">
        <v>4</v>
      </c>
      <c r="F1" t="s">
        <v>2</v>
      </c>
      <c r="G1" t="s">
        <v>5</v>
      </c>
      <c r="H1" t="s">
        <v>6</v>
      </c>
      <c r="K1" t="s">
        <v>2</v>
      </c>
      <c r="L1" t="s">
        <v>7</v>
      </c>
      <c r="M1" t="s">
        <v>6</v>
      </c>
    </row>
    <row r="2" spans="1:13" x14ac:dyDescent="0.3">
      <c r="A2">
        <v>1</v>
      </c>
      <c r="B2">
        <v>70</v>
      </c>
      <c r="C2">
        <v>71</v>
      </c>
      <c r="F2">
        <v>1</v>
      </c>
      <c r="G2">
        <f>B2/1244.1*1463.14/904*1000</f>
        <v>91.066826571861668</v>
      </c>
      <c r="H2">
        <f>C2/1244.1*1463.14/904*1000</f>
        <v>92.367781237174</v>
      </c>
      <c r="K2">
        <v>1</v>
      </c>
      <c r="L2" s="1">
        <v>91.066826571861668</v>
      </c>
      <c r="M2" s="1">
        <v>92.367781237174</v>
      </c>
    </row>
    <row r="3" spans="1:13" x14ac:dyDescent="0.3">
      <c r="A3">
        <v>2</v>
      </c>
      <c r="B3">
        <v>138</v>
      </c>
      <c r="C3">
        <v>138</v>
      </c>
      <c r="F3">
        <v>2</v>
      </c>
      <c r="G3">
        <f t="shared" ref="G3:H11" si="0">B3/1244.1*1463.14/904*1000</f>
        <v>179.53174381309873</v>
      </c>
      <c r="H3">
        <f t="shared" si="0"/>
        <v>179.53174381309873</v>
      </c>
      <c r="K3">
        <v>2</v>
      </c>
      <c r="L3" s="1">
        <v>179.53174381309873</v>
      </c>
      <c r="M3" s="1">
        <v>179.53174381309873</v>
      </c>
    </row>
    <row r="4" spans="1:13" x14ac:dyDescent="0.3">
      <c r="A4">
        <v>3</v>
      </c>
      <c r="B4">
        <v>207</v>
      </c>
      <c r="C4">
        <v>206</v>
      </c>
      <c r="F4">
        <v>3</v>
      </c>
      <c r="G4">
        <f t="shared" si="0"/>
        <v>269.29761571964809</v>
      </c>
      <c r="H4">
        <f t="shared" si="0"/>
        <v>267.99666105433579</v>
      </c>
      <c r="K4">
        <v>3</v>
      </c>
      <c r="L4" s="1">
        <v>269.29761571964809</v>
      </c>
      <c r="M4" s="1">
        <v>267.99666105433579</v>
      </c>
    </row>
    <row r="5" spans="1:13" x14ac:dyDescent="0.3">
      <c r="A5">
        <v>4</v>
      </c>
      <c r="B5">
        <v>275</v>
      </c>
      <c r="C5">
        <v>272</v>
      </c>
      <c r="F5">
        <v>4</v>
      </c>
      <c r="G5">
        <f t="shared" si="0"/>
        <v>357.7625329608851</v>
      </c>
      <c r="H5">
        <f t="shared" si="0"/>
        <v>353.85966896494824</v>
      </c>
      <c r="K5">
        <v>4</v>
      </c>
      <c r="L5" s="1">
        <v>357.7625329608851</v>
      </c>
      <c r="M5" s="1">
        <v>353.85966896494824</v>
      </c>
    </row>
    <row r="6" spans="1:13" x14ac:dyDescent="0.3">
      <c r="A6">
        <v>5</v>
      </c>
      <c r="B6">
        <v>346</v>
      </c>
      <c r="C6">
        <v>342</v>
      </c>
      <c r="F6">
        <v>5</v>
      </c>
      <c r="G6">
        <f t="shared" si="0"/>
        <v>450.13031419805912</v>
      </c>
      <c r="H6">
        <f t="shared" si="0"/>
        <v>444.92649553680985</v>
      </c>
      <c r="K6">
        <v>5</v>
      </c>
      <c r="L6" s="1">
        <v>450.13031419805912</v>
      </c>
      <c r="M6" s="1">
        <v>444.92649553680985</v>
      </c>
    </row>
    <row r="7" spans="1:13" x14ac:dyDescent="0.3">
      <c r="A7">
        <v>6</v>
      </c>
      <c r="B7">
        <v>411</v>
      </c>
      <c r="C7">
        <v>411</v>
      </c>
      <c r="F7">
        <v>6</v>
      </c>
      <c r="G7">
        <f t="shared" si="0"/>
        <v>534.69236744335933</v>
      </c>
      <c r="H7">
        <f t="shared" si="0"/>
        <v>534.69236744335933</v>
      </c>
      <c r="K7">
        <v>6</v>
      </c>
      <c r="L7" s="1">
        <v>534.69236744335933</v>
      </c>
      <c r="M7" s="1">
        <v>534.69236744335933</v>
      </c>
    </row>
    <row r="8" spans="1:13" x14ac:dyDescent="0.3">
      <c r="A8">
        <v>7</v>
      </c>
      <c r="B8">
        <v>480</v>
      </c>
      <c r="C8">
        <v>480</v>
      </c>
      <c r="F8">
        <v>7</v>
      </c>
      <c r="G8">
        <f t="shared" si="0"/>
        <v>624.45823934990869</v>
      </c>
      <c r="H8">
        <f t="shared" si="0"/>
        <v>624.45823934990869</v>
      </c>
      <c r="K8">
        <v>7</v>
      </c>
      <c r="L8" s="1">
        <v>624.45823934990869</v>
      </c>
      <c r="M8" s="1">
        <v>624.45823934990869</v>
      </c>
    </row>
    <row r="9" spans="1:13" x14ac:dyDescent="0.3">
      <c r="A9">
        <v>8</v>
      </c>
      <c r="B9">
        <v>549</v>
      </c>
      <c r="C9">
        <v>548</v>
      </c>
      <c r="F9">
        <v>8</v>
      </c>
      <c r="G9">
        <f t="shared" si="0"/>
        <v>714.22411125645806</v>
      </c>
      <c r="H9">
        <f t="shared" si="0"/>
        <v>712.9231565911457</v>
      </c>
      <c r="K9">
        <v>8</v>
      </c>
      <c r="L9" s="1">
        <v>714.22411125645806</v>
      </c>
      <c r="M9" s="1">
        <v>712.9231565911457</v>
      </c>
    </row>
    <row r="10" spans="1:13" x14ac:dyDescent="0.3">
      <c r="A10">
        <v>9</v>
      </c>
      <c r="B10">
        <v>619</v>
      </c>
      <c r="C10">
        <v>615</v>
      </c>
      <c r="F10">
        <v>9</v>
      </c>
      <c r="G10">
        <f t="shared" si="0"/>
        <v>805.29093782831967</v>
      </c>
      <c r="H10">
        <f t="shared" si="0"/>
        <v>800.08711916707045</v>
      </c>
      <c r="K10">
        <v>9</v>
      </c>
      <c r="L10" s="1">
        <v>805.29093782831967</v>
      </c>
      <c r="M10" s="1">
        <v>800.08711916707045</v>
      </c>
    </row>
    <row r="11" spans="1:13" x14ac:dyDescent="0.3">
      <c r="A11">
        <v>10</v>
      </c>
      <c r="B11">
        <v>686</v>
      </c>
      <c r="F11">
        <v>10</v>
      </c>
      <c r="G11">
        <f t="shared" si="0"/>
        <v>892.45490040424443</v>
      </c>
      <c r="K11">
        <v>10</v>
      </c>
      <c r="L11" s="1">
        <v>892.45490040424443</v>
      </c>
      <c r="M11" s="1"/>
    </row>
    <row r="12" spans="1:13" x14ac:dyDescent="0.3">
      <c r="K12">
        <v>0</v>
      </c>
      <c r="L12" s="1">
        <v>0</v>
      </c>
      <c r="M12" s="1"/>
    </row>
    <row r="13" spans="1:13" x14ac:dyDescent="0.3">
      <c r="K13">
        <f>-K2</f>
        <v>-1</v>
      </c>
      <c r="L13" s="1">
        <f>-M2</f>
        <v>-92.367781237174</v>
      </c>
      <c r="M13" s="1"/>
    </row>
    <row r="14" spans="1:13" x14ac:dyDescent="0.3">
      <c r="K14">
        <f t="shared" ref="K14:K21" si="1">-K3</f>
        <v>-2</v>
      </c>
      <c r="L14" s="1">
        <f t="shared" ref="L14:L21" si="2">-M3</f>
        <v>-179.53174381309873</v>
      </c>
      <c r="M14" s="1"/>
    </row>
    <row r="15" spans="1:13" x14ac:dyDescent="0.3">
      <c r="K15">
        <f t="shared" si="1"/>
        <v>-3</v>
      </c>
      <c r="L15" s="1">
        <f t="shared" si="2"/>
        <v>-267.99666105433579</v>
      </c>
      <c r="M15" s="1"/>
    </row>
    <row r="16" spans="1:13" x14ac:dyDescent="0.3">
      <c r="K16">
        <f t="shared" si="1"/>
        <v>-4</v>
      </c>
      <c r="L16" s="1">
        <f t="shared" si="2"/>
        <v>-353.85966896494824</v>
      </c>
      <c r="M16" s="1"/>
    </row>
    <row r="17" spans="11:13" x14ac:dyDescent="0.3">
      <c r="K17">
        <f t="shared" si="1"/>
        <v>-5</v>
      </c>
      <c r="L17" s="1">
        <f t="shared" si="2"/>
        <v>-444.92649553680985</v>
      </c>
      <c r="M17" s="1"/>
    </row>
    <row r="18" spans="11:13" x14ac:dyDescent="0.3">
      <c r="K18">
        <f t="shared" si="1"/>
        <v>-6</v>
      </c>
      <c r="L18" s="1">
        <f t="shared" si="2"/>
        <v>-534.69236744335933</v>
      </c>
      <c r="M18" s="1"/>
    </row>
    <row r="19" spans="11:13" x14ac:dyDescent="0.3">
      <c r="K19">
        <f t="shared" si="1"/>
        <v>-7</v>
      </c>
      <c r="L19" s="1">
        <f t="shared" si="2"/>
        <v>-624.45823934990869</v>
      </c>
      <c r="M19" s="1"/>
    </row>
    <row r="20" spans="11:13" x14ac:dyDescent="0.3">
      <c r="K20">
        <f t="shared" si="1"/>
        <v>-8</v>
      </c>
      <c r="L20" s="1">
        <f t="shared" si="2"/>
        <v>-712.9231565911457</v>
      </c>
      <c r="M20" s="1"/>
    </row>
    <row r="21" spans="11:13" x14ac:dyDescent="0.3">
      <c r="K21">
        <f t="shared" si="1"/>
        <v>-9</v>
      </c>
      <c r="L21" s="1">
        <f t="shared" si="2"/>
        <v>-800.08711916707045</v>
      </c>
      <c r="M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Френель</vt:lpstr>
      <vt:lpstr>Фраунгофер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Струков</dc:creator>
  <cp:lastModifiedBy>Олег Струков</cp:lastModifiedBy>
  <dcterms:created xsi:type="dcterms:W3CDTF">2026-04-23T10:20:42Z</dcterms:created>
  <dcterms:modified xsi:type="dcterms:W3CDTF">2026-04-23T23:56:18Z</dcterms:modified>
</cp:coreProperties>
</file>