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4 1\"/>
    </mc:Choice>
  </mc:AlternateContent>
  <xr:revisionPtr revIDLastSave="0" documentId="13_ncr:1_{3DD088E4-F5CB-439A-A8C1-C3CA35F561C7}" xr6:coauthVersionLast="47" xr6:coauthVersionMax="47" xr10:uidLastSave="{00000000-0000-0000-0000-000000000000}"/>
  <bookViews>
    <workbookView xWindow="-108" yWindow="-108" windowWidth="23256" windowHeight="13896" xr2:uid="{828A083E-32DB-4E42-822A-6BE1C762FD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  <c r="C30" i="1" s="1"/>
  <c r="D30" i="1" s="1"/>
  <c r="E30" i="1"/>
  <c r="B29" i="1"/>
  <c r="C29" i="1" s="1"/>
  <c r="D29" i="1" s="1"/>
  <c r="E29" i="1"/>
  <c r="D27" i="1"/>
  <c r="D28" i="1"/>
  <c r="C27" i="1"/>
  <c r="C28" i="1"/>
  <c r="B28" i="1"/>
  <c r="E28" i="1"/>
  <c r="B27" i="1"/>
  <c r="E27" i="1"/>
  <c r="D26" i="1"/>
  <c r="C26" i="1"/>
  <c r="B26" i="1"/>
  <c r="E26" i="1"/>
  <c r="D25" i="1"/>
  <c r="C25" i="1"/>
  <c r="B25" i="1"/>
  <c r="E25" i="1"/>
  <c r="D24" i="1"/>
  <c r="C24" i="1"/>
  <c r="B24" i="1"/>
  <c r="E24" i="1"/>
  <c r="D23" i="1"/>
  <c r="C23" i="1"/>
  <c r="B23" i="1"/>
  <c r="E23" i="1"/>
  <c r="D22" i="1"/>
  <c r="C22" i="1"/>
  <c r="B22" i="1"/>
  <c r="E22" i="1"/>
  <c r="D21" i="1"/>
  <c r="C21" i="1"/>
  <c r="B21" i="1"/>
  <c r="E21" i="1"/>
  <c r="D19" i="1"/>
  <c r="D20" i="1"/>
  <c r="C19" i="1"/>
  <c r="C20" i="1"/>
  <c r="B20" i="1"/>
  <c r="E20" i="1"/>
  <c r="B19" i="1"/>
  <c r="E19" i="1"/>
  <c r="D18" i="1"/>
  <c r="C18" i="1"/>
  <c r="B18" i="1"/>
  <c r="E18" i="1"/>
  <c r="D17" i="1"/>
  <c r="C17" i="1"/>
  <c r="B17" i="1"/>
  <c r="E17" i="1"/>
  <c r="C16" i="1"/>
  <c r="D16" i="1" s="1"/>
  <c r="B16" i="1"/>
  <c r="E16" i="1"/>
  <c r="D15" i="1"/>
  <c r="C15" i="1"/>
  <c r="B15" i="1"/>
  <c r="E15" i="1"/>
  <c r="D14" i="1"/>
  <c r="C14" i="1"/>
  <c r="B14" i="1"/>
  <c r="E14" i="1"/>
  <c r="D13" i="1"/>
  <c r="C13" i="1"/>
  <c r="B13" i="1"/>
  <c r="E13" i="1"/>
  <c r="E3" i="1"/>
  <c r="E4" i="1"/>
  <c r="E5" i="1"/>
  <c r="E6" i="1"/>
  <c r="E7" i="1"/>
  <c r="E8" i="1"/>
  <c r="E9" i="1"/>
  <c r="E10" i="1"/>
  <c r="E11" i="1"/>
  <c r="E12" i="1"/>
  <c r="E2" i="1"/>
  <c r="D12" i="1"/>
  <c r="C12" i="1"/>
  <c r="C11" i="1"/>
  <c r="B12" i="1"/>
  <c r="D11" i="1"/>
  <c r="B11" i="1"/>
  <c r="C10" i="1"/>
  <c r="D10" i="1" s="1"/>
  <c r="D3" i="1"/>
  <c r="D4" i="1"/>
  <c r="D5" i="1"/>
  <c r="D6" i="1"/>
  <c r="D7" i="1"/>
  <c r="D8" i="1"/>
  <c r="D9" i="1"/>
  <c r="D2" i="1"/>
  <c r="B10" i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</calcChain>
</file>

<file path=xl/sharedStrings.xml><?xml version="1.0" encoding="utf-8"?>
<sst xmlns="http://schemas.openxmlformats.org/spreadsheetml/2006/main" count="5" uniqueCount="5">
  <si>
    <t>температура</t>
  </si>
  <si>
    <t>разность уровней ртути, мм</t>
  </si>
  <si>
    <t>Давление, Па</t>
  </si>
  <si>
    <t>1/Т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</si>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</sst>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1B54-3C79-4D87-8092-191B5DE8B47A}">
  <dimension ref="A1:E30"/>
  <sheetViews>
    <sheetView tabSelected="1" workbookViewId="0">
      <selection activeCell="D30" sqref="D3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18.3</v>
      </c>
      <c r="B2">
        <f>-9.14+46.53</f>
        <v>37.39</v>
      </c>
      <c r="C2">
        <f>13546*9.81*B2/1000</f>
        <v>4968.6172614000006</v>
      </c>
      <c r="D2">
        <f>LN(C2)</f>
        <v>8.5108968633590063</v>
      </c>
      <c r="E2">
        <f>1/(A2+273)</f>
        <v>3.4328870580157913E-3</v>
      </c>
    </row>
    <row r="3" spans="1:5" x14ac:dyDescent="0.3">
      <c r="A3">
        <v>20.13</v>
      </c>
      <c r="B3">
        <f>49.26-6.73</f>
        <v>42.53</v>
      </c>
      <c r="C3">
        <f t="shared" ref="C3:C11" si="0">13546*9.81*B3/1000</f>
        <v>5651.6526378000008</v>
      </c>
      <c r="D3">
        <f t="shared" ref="D3:D30" si="1">LN(C3)</f>
        <v>8.6397032836355265</v>
      </c>
      <c r="E3">
        <f t="shared" ref="E3:E30" si="2">1/(A3+273)</f>
        <v>3.4114556681335926E-3</v>
      </c>
    </row>
    <row r="4" spans="1:5" x14ac:dyDescent="0.3">
      <c r="A4">
        <v>21</v>
      </c>
      <c r="B4">
        <f>-6+50.48</f>
        <v>44.48</v>
      </c>
      <c r="C4">
        <f t="shared" si="0"/>
        <v>5910.7808448000005</v>
      </c>
      <c r="D4">
        <f t="shared" si="1"/>
        <v>8.684533224312311</v>
      </c>
      <c r="E4">
        <f t="shared" si="2"/>
        <v>3.4013605442176869E-3</v>
      </c>
    </row>
    <row r="5" spans="1:5" x14ac:dyDescent="0.3">
      <c r="A5">
        <v>22.1</v>
      </c>
      <c r="B5">
        <f>52.22-4.71</f>
        <v>47.51</v>
      </c>
      <c r="C5">
        <f t="shared" si="0"/>
        <v>6313.4262126000003</v>
      </c>
      <c r="D5">
        <f t="shared" si="1"/>
        <v>8.7504337895688131</v>
      </c>
      <c r="E5">
        <f t="shared" si="2"/>
        <v>3.3886818027787187E-3</v>
      </c>
    </row>
    <row r="6" spans="1:5" x14ac:dyDescent="0.3">
      <c r="A6">
        <v>23.15</v>
      </c>
      <c r="B6">
        <f>-2.9+54.12</f>
        <v>51.22</v>
      </c>
      <c r="C6">
        <f t="shared" si="0"/>
        <v>6806.4342372000001</v>
      </c>
      <c r="D6">
        <f t="shared" si="1"/>
        <v>8.8256236551413636</v>
      </c>
      <c r="E6">
        <f t="shared" si="2"/>
        <v>3.3766672294445383E-3</v>
      </c>
    </row>
    <row r="7" spans="1:5" x14ac:dyDescent="0.3">
      <c r="A7">
        <v>24.1</v>
      </c>
      <c r="B7">
        <f>55.14-1.81</f>
        <v>53.33</v>
      </c>
      <c r="C7">
        <f t="shared" si="0"/>
        <v>7086.8242458000004</v>
      </c>
      <c r="D7">
        <f t="shared" si="1"/>
        <v>8.8659925989824941</v>
      </c>
      <c r="E7">
        <f t="shared" si="2"/>
        <v>3.3658700774150114E-3</v>
      </c>
    </row>
    <row r="8" spans="1:5" x14ac:dyDescent="0.3">
      <c r="A8">
        <v>25.1</v>
      </c>
      <c r="B8">
        <f>0.2+57.1</f>
        <v>57.300000000000004</v>
      </c>
      <c r="C8">
        <f t="shared" si="0"/>
        <v>7614.3826980000003</v>
      </c>
      <c r="D8">
        <f t="shared" si="1"/>
        <v>8.9377941980906783</v>
      </c>
      <c r="E8">
        <f t="shared" si="2"/>
        <v>3.3545790003354577E-3</v>
      </c>
    </row>
    <row r="9" spans="1:5" x14ac:dyDescent="0.3">
      <c r="A9">
        <v>26.08</v>
      </c>
      <c r="B9">
        <f>58.8+1.7</f>
        <v>60.5</v>
      </c>
      <c r="C9">
        <f t="shared" si="0"/>
        <v>8039.6187300000001</v>
      </c>
      <c r="D9">
        <f t="shared" si="1"/>
        <v>8.9921369394067803</v>
      </c>
      <c r="E9">
        <f t="shared" si="2"/>
        <v>3.3435870001337436E-3</v>
      </c>
    </row>
    <row r="10" spans="1:5" x14ac:dyDescent="0.3">
      <c r="A10">
        <v>27.1</v>
      </c>
      <c r="B10">
        <f>3.61+60.46</f>
        <v>64.070000000000007</v>
      </c>
      <c r="C10">
        <f t="shared" si="0"/>
        <v>8514.0226782000009</v>
      </c>
      <c r="D10">
        <f t="shared" si="1"/>
        <v>9.0494698100209146</v>
      </c>
      <c r="E10">
        <f t="shared" si="2"/>
        <v>3.3322225924691767E-3</v>
      </c>
    </row>
    <row r="11" spans="1:5" x14ac:dyDescent="0.3">
      <c r="A11">
        <v>28.07</v>
      </c>
      <c r="B11">
        <f>62.19+5.59</f>
        <v>67.78</v>
      </c>
      <c r="C11">
        <f>13546*9.81*B11/1000</f>
        <v>9007.0307028000007</v>
      </c>
      <c r="D11">
        <f t="shared" si="1"/>
        <v>9.1057607405488898</v>
      </c>
      <c r="E11">
        <f t="shared" si="2"/>
        <v>3.3214866974457767E-3</v>
      </c>
    </row>
    <row r="12" spans="1:5" x14ac:dyDescent="0.3">
      <c r="A12">
        <v>29.07</v>
      </c>
      <c r="B12">
        <f>7.79+64.59</f>
        <v>72.38000000000001</v>
      </c>
      <c r="C12">
        <f>13546*9.81*B12/1000</f>
        <v>9618.3074988000026</v>
      </c>
      <c r="D12">
        <f t="shared" si="1"/>
        <v>9.1714235925055796</v>
      </c>
      <c r="E12">
        <f t="shared" si="2"/>
        <v>3.3104909458072634E-3</v>
      </c>
    </row>
    <row r="13" spans="1:5" x14ac:dyDescent="0.3">
      <c r="A13">
        <v>30.15</v>
      </c>
      <c r="B13">
        <f>66.55+9.64</f>
        <v>76.19</v>
      </c>
      <c r="C13">
        <f>13546*9.81*B13/1000</f>
        <v>10124.6041494</v>
      </c>
      <c r="D13">
        <f t="shared" si="1"/>
        <v>9.2227237948549021</v>
      </c>
      <c r="E13">
        <f t="shared" si="2"/>
        <v>3.298697014679202E-3</v>
      </c>
    </row>
    <row r="14" spans="1:5" x14ac:dyDescent="0.3">
      <c r="A14">
        <v>31.06</v>
      </c>
      <c r="B14">
        <f>12.13+69.05</f>
        <v>81.179999999999993</v>
      </c>
      <c r="C14">
        <f>13546*9.81*B14/1000</f>
        <v>10787.706586799999</v>
      </c>
      <c r="D14">
        <f t="shared" si="1"/>
        <v>9.2861624857807357</v>
      </c>
      <c r="E14">
        <f t="shared" si="2"/>
        <v>3.2888245740972178E-3</v>
      </c>
    </row>
    <row r="15" spans="1:5" x14ac:dyDescent="0.3">
      <c r="A15">
        <v>32.130000000000003</v>
      </c>
      <c r="B15">
        <f>70.73+14.13</f>
        <v>84.86</v>
      </c>
      <c r="C15">
        <f>13546*9.81*B15/1000</f>
        <v>11276.728023600001</v>
      </c>
      <c r="D15">
        <f t="shared" si="1"/>
        <v>9.3304964141441626</v>
      </c>
      <c r="E15">
        <f t="shared" si="2"/>
        <v>3.2772916461835939E-3</v>
      </c>
    </row>
    <row r="16" spans="1:5" x14ac:dyDescent="0.3">
      <c r="A16">
        <v>33.049999999999997</v>
      </c>
      <c r="B16">
        <f>16.62+73.9</f>
        <v>90.52000000000001</v>
      </c>
      <c r="C16">
        <f>13546*9.81*B16/1000</f>
        <v>12028.864255200002</v>
      </c>
      <c r="D16">
        <f t="shared" si="1"/>
        <v>9.3950643951353197</v>
      </c>
      <c r="E16">
        <f t="shared" si="2"/>
        <v>3.2674399607907204E-3</v>
      </c>
    </row>
    <row r="17" spans="1:5" x14ac:dyDescent="0.3">
      <c r="A17">
        <v>34.1</v>
      </c>
      <c r="B17">
        <f>76.28+19.19</f>
        <v>95.47</v>
      </c>
      <c r="C17">
        <f>13546*9.81*B17/1000</f>
        <v>12686.6512422</v>
      </c>
      <c r="D17">
        <f t="shared" si="1"/>
        <v>9.448305636379926</v>
      </c>
      <c r="E17">
        <f t="shared" si="2"/>
        <v>3.2562683165092803E-3</v>
      </c>
    </row>
    <row r="18" spans="1:5" x14ac:dyDescent="0.3">
      <c r="A18">
        <v>35.200000000000003</v>
      </c>
      <c r="B18">
        <f>21.51+78.47</f>
        <v>99.98</v>
      </c>
      <c r="C18">
        <f>13546*9.81*B18/1000</f>
        <v>13285.968274800001</v>
      </c>
      <c r="D18">
        <f t="shared" si="1"/>
        <v>9.4944637403554086</v>
      </c>
      <c r="E18">
        <f t="shared" si="2"/>
        <v>3.2446463335496431E-3</v>
      </c>
    </row>
    <row r="19" spans="1:5" x14ac:dyDescent="0.3">
      <c r="A19">
        <v>36.07</v>
      </c>
      <c r="B19">
        <f>81.95+24.06</f>
        <v>106.01</v>
      </c>
      <c r="C19">
        <f t="shared" ref="C19:C30" si="3">13546*9.81*B19/1000</f>
        <v>14087.272422600001</v>
      </c>
      <c r="D19">
        <f t="shared" si="1"/>
        <v>9.5530270036549894</v>
      </c>
      <c r="E19">
        <f t="shared" si="2"/>
        <v>3.2355129905846571E-3</v>
      </c>
    </row>
    <row r="20" spans="1:5" x14ac:dyDescent="0.3">
      <c r="A20">
        <v>37.15</v>
      </c>
      <c r="B20">
        <f>26.79+84.8</f>
        <v>111.59</v>
      </c>
      <c r="C20">
        <f t="shared" si="3"/>
        <v>14828.777753400002</v>
      </c>
      <c r="D20">
        <f t="shared" si="1"/>
        <v>9.6043250145675945</v>
      </c>
      <c r="E20">
        <f t="shared" si="2"/>
        <v>3.224246332419797E-3</v>
      </c>
    </row>
    <row r="21" spans="1:5" x14ac:dyDescent="0.3">
      <c r="A21">
        <v>38.090000000000003</v>
      </c>
      <c r="B21">
        <f>88.03+30.33</f>
        <v>118.36</v>
      </c>
      <c r="C21">
        <f t="shared" si="3"/>
        <v>15728.417733600001</v>
      </c>
      <c r="D21">
        <f t="shared" si="1"/>
        <v>9.6632244019019922</v>
      </c>
      <c r="E21">
        <f t="shared" si="2"/>
        <v>3.21450384133209E-3</v>
      </c>
    </row>
    <row r="22" spans="1:5" x14ac:dyDescent="0.3">
      <c r="A22">
        <v>39.07</v>
      </c>
      <c r="B22">
        <f>33.19+91.16</f>
        <v>124.35</v>
      </c>
      <c r="C22">
        <f t="shared" si="3"/>
        <v>16524.406430999999</v>
      </c>
      <c r="D22">
        <f t="shared" si="1"/>
        <v>9.7125937446193973</v>
      </c>
      <c r="E22">
        <f t="shared" si="2"/>
        <v>3.2044092671516008E-3</v>
      </c>
    </row>
    <row r="23" spans="1:5" x14ac:dyDescent="0.3">
      <c r="A23">
        <v>37.200000000000003</v>
      </c>
      <c r="B23">
        <f>85.72+28.3</f>
        <v>114.02</v>
      </c>
      <c r="C23">
        <f t="shared" si="3"/>
        <v>15151.6913652</v>
      </c>
      <c r="D23">
        <f t="shared" si="1"/>
        <v>9.6258674459734195</v>
      </c>
      <c r="E23">
        <f t="shared" si="2"/>
        <v>3.2237266279819474E-3</v>
      </c>
    </row>
    <row r="24" spans="1:5" x14ac:dyDescent="0.3">
      <c r="A24">
        <v>35.18</v>
      </c>
      <c r="B24">
        <f>21.9+78.41</f>
        <v>100.31</v>
      </c>
      <c r="C24">
        <f t="shared" si="3"/>
        <v>13329.820740600002</v>
      </c>
      <c r="D24">
        <f t="shared" si="1"/>
        <v>9.497758965265378</v>
      </c>
      <c r="E24">
        <f t="shared" si="2"/>
        <v>3.24485690181063E-3</v>
      </c>
    </row>
    <row r="25" spans="1:5" x14ac:dyDescent="0.3">
      <c r="A25">
        <v>33.17</v>
      </c>
      <c r="B25">
        <f>72.85+16.84</f>
        <v>89.69</v>
      </c>
      <c r="C25">
        <f t="shared" si="3"/>
        <v>11918.568659400002</v>
      </c>
      <c r="D25">
        <f t="shared" si="1"/>
        <v>9.3858528544998947</v>
      </c>
      <c r="E25">
        <f t="shared" si="2"/>
        <v>3.266159323251788E-3</v>
      </c>
    </row>
    <row r="26" spans="1:5" x14ac:dyDescent="0.3">
      <c r="A26">
        <v>31.21</v>
      </c>
      <c r="B26">
        <f>12.49+68.96</f>
        <v>81.449999999999989</v>
      </c>
      <c r="C26">
        <f t="shared" si="3"/>
        <v>10823.585876999998</v>
      </c>
      <c r="D26">
        <f t="shared" si="1"/>
        <v>9.2894829094180373</v>
      </c>
      <c r="E26">
        <f t="shared" si="2"/>
        <v>3.2872029190361921E-3</v>
      </c>
    </row>
    <row r="27" spans="1:5" x14ac:dyDescent="0.3">
      <c r="A27">
        <v>29.19</v>
      </c>
      <c r="B27">
        <f>64.89+8.02</f>
        <v>72.91</v>
      </c>
      <c r="C27">
        <f t="shared" si="3"/>
        <v>9688.7372166000005</v>
      </c>
      <c r="D27">
        <f t="shared" si="1"/>
        <v>9.1787193781883225</v>
      </c>
      <c r="E27">
        <f t="shared" si="2"/>
        <v>3.3091763460074788E-3</v>
      </c>
    </row>
    <row r="28" spans="1:5" x14ac:dyDescent="0.3">
      <c r="A28">
        <v>27.2</v>
      </c>
      <c r="B28">
        <f>4.69+61.19</f>
        <v>65.88</v>
      </c>
      <c r="C28">
        <f t="shared" si="3"/>
        <v>8754.5468088000016</v>
      </c>
      <c r="D28">
        <f t="shared" si="1"/>
        <v>9.0773284796794229</v>
      </c>
      <c r="E28">
        <f t="shared" si="2"/>
        <v>3.3311125916055963E-3</v>
      </c>
    </row>
    <row r="29" spans="1:5" x14ac:dyDescent="0.3">
      <c r="A29">
        <v>25.24</v>
      </c>
      <c r="B29">
        <f>57.44+1.09</f>
        <v>58.53</v>
      </c>
      <c r="C29">
        <f t="shared" si="3"/>
        <v>7777.8327978000007</v>
      </c>
      <c r="D29">
        <f t="shared" si="1"/>
        <v>8.9590330176731126</v>
      </c>
      <c r="E29">
        <f t="shared" si="2"/>
        <v>3.3530042918454937E-3</v>
      </c>
    </row>
    <row r="30" spans="1:5" x14ac:dyDescent="0.3">
      <c r="A30">
        <v>23.25</v>
      </c>
      <c r="B30">
        <f>-1.91+53.06</f>
        <v>51.150000000000006</v>
      </c>
      <c r="C30">
        <f t="shared" si="3"/>
        <v>6797.1321990000006</v>
      </c>
      <c r="D30">
        <f t="shared" si="1"/>
        <v>8.8242560667676191</v>
      </c>
      <c r="E30">
        <f t="shared" si="2"/>
        <v>3.3755274261603376E-3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2025-02-15T11:33:44Z</dcterms:created>
  <dcterms:modified xsi:type="dcterms:W3CDTF">2025-02-17T08:15:01Z</dcterms:modified>
</cp:coreProperties>
</file>