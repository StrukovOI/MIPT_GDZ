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2 5\"/>
    </mc:Choice>
  </mc:AlternateContent>
  <xr:revisionPtr revIDLastSave="0" documentId="13_ncr:1_{0286645B-8177-4953-97A7-F649A1C9FD5D}" xr6:coauthVersionLast="47" xr6:coauthVersionMax="47" xr10:uidLastSave="{00000000-0000-0000-0000-000000000000}"/>
  <bookViews>
    <workbookView xWindow="-108" yWindow="-108" windowWidth="23256" windowHeight="13896" activeTab="2" xr2:uid="{C0CE43D5-0732-45FF-8537-5D1E0A252B74}"/>
  </bookViews>
  <sheets>
    <sheet name="Лист1" sheetId="1" r:id="rId1"/>
    <sheet name="Спираль" sheetId="2" r:id="rId2"/>
    <sheet name="2.5" sheetId="3" r:id="rId3"/>
    <sheet name="2,6" sheetId="4" r:id="rId4"/>
    <sheet name="Лист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E9" i="4"/>
  <c r="M5" i="4"/>
  <c r="M4" i="4"/>
  <c r="M3" i="4"/>
  <c r="M2" i="4"/>
  <c r="E3" i="4"/>
  <c r="E2" i="4"/>
  <c r="E3" i="3"/>
  <c r="E4" i="3"/>
  <c r="E5" i="3"/>
  <c r="E6" i="3"/>
  <c r="E7" i="3"/>
  <c r="E8" i="3"/>
  <c r="E9" i="3"/>
  <c r="E10" i="3"/>
  <c r="E11" i="3"/>
  <c r="E12" i="3"/>
  <c r="E2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0" i="3"/>
  <c r="H34" i="3"/>
  <c r="H35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20" i="3"/>
  <c r="D18" i="3"/>
  <c r="D19" i="3"/>
  <c r="D20" i="3"/>
  <c r="D21" i="3"/>
  <c r="D22" i="3"/>
  <c r="D23" i="3"/>
  <c r="D24" i="3"/>
  <c r="D25" i="3"/>
  <c r="D26" i="3"/>
  <c r="D27" i="3"/>
  <c r="D17" i="3"/>
  <c r="C26" i="3"/>
  <c r="C27" i="3"/>
  <c r="C18" i="3"/>
  <c r="C19" i="3"/>
  <c r="C20" i="3"/>
  <c r="C21" i="3"/>
  <c r="C22" i="3"/>
  <c r="C23" i="3"/>
  <c r="C24" i="3"/>
  <c r="C25" i="3"/>
  <c r="C17" i="3"/>
  <c r="E9" i="2"/>
  <c r="C14" i="2" s="1"/>
  <c r="D14" i="2" s="1"/>
  <c r="D15" i="2"/>
  <c r="C15" i="2"/>
  <c r="I8" i="2"/>
  <c r="G8" i="2"/>
  <c r="F9" i="2"/>
  <c r="F8" i="2"/>
  <c r="E10" i="2"/>
  <c r="E8" i="2"/>
  <c r="P9" i="1"/>
  <c r="T9" i="1" s="1"/>
  <c r="S9" i="1"/>
  <c r="S10" i="1"/>
  <c r="S11" i="1"/>
  <c r="S12" i="1"/>
  <c r="S13" i="1"/>
  <c r="S8" i="1"/>
  <c r="T10" i="1"/>
  <c r="T11" i="1"/>
  <c r="T12" i="1"/>
  <c r="T13" i="1"/>
  <c r="T8" i="1"/>
  <c r="Q10" i="1"/>
  <c r="Q11" i="1"/>
  <c r="Q12" i="1"/>
  <c r="Q13" i="1"/>
  <c r="Q8" i="1"/>
  <c r="O9" i="1"/>
  <c r="O10" i="1"/>
  <c r="O11" i="1"/>
  <c r="O12" i="1"/>
  <c r="O13" i="1"/>
  <c r="O8" i="1"/>
  <c r="P13" i="1"/>
  <c r="P12" i="1"/>
  <c r="P11" i="1"/>
  <c r="P10" i="1"/>
  <c r="P8" i="1"/>
  <c r="C19" i="1"/>
  <c r="C20" i="1"/>
  <c r="C21" i="1"/>
  <c r="C22" i="1"/>
  <c r="C23" i="1"/>
  <c r="C24" i="1"/>
  <c r="C25" i="1"/>
  <c r="C26" i="1"/>
  <c r="C27" i="1"/>
  <c r="C18" i="1"/>
  <c r="E6" i="1"/>
  <c r="E3" i="1"/>
  <c r="E4" i="1"/>
  <c r="E5" i="1"/>
  <c r="E7" i="1"/>
  <c r="E8" i="1"/>
  <c r="E9" i="1"/>
  <c r="E10" i="1"/>
  <c r="E11" i="1"/>
  <c r="E2" i="1"/>
  <c r="Q9" i="1" l="1"/>
</calcChain>
</file>

<file path=xl/sharedStrings.xml><?xml version="1.0" encoding="utf-8"?>
<sst xmlns="http://schemas.openxmlformats.org/spreadsheetml/2006/main" count="70" uniqueCount="54">
  <si>
    <t>2.2.3.е</t>
  </si>
  <si>
    <t>С0</t>
  </si>
  <si>
    <t>Т, мс</t>
  </si>
  <si>
    <t>С, мкФ</t>
  </si>
  <si>
    <t>68 мс</t>
  </si>
  <si>
    <t>С*, мкФ</t>
  </si>
  <si>
    <t>Rкр, Ом</t>
  </si>
  <si>
    <t>n</t>
  </si>
  <si>
    <t>U, mV</t>
  </si>
  <si>
    <t>R=408 Om</t>
  </si>
  <si>
    <t>500 Om</t>
  </si>
  <si>
    <t>700 Om</t>
  </si>
  <si>
    <t>1000 Om</t>
  </si>
  <si>
    <t>1500 Om</t>
  </si>
  <si>
    <t>2000 Om</t>
  </si>
  <si>
    <t>408 Ом</t>
  </si>
  <si>
    <t>2000 Ом</t>
  </si>
  <si>
    <t>мВ</t>
  </si>
  <si>
    <t>U_рез</t>
  </si>
  <si>
    <t>19,6 В</t>
  </si>
  <si>
    <t>частота, кгц</t>
  </si>
  <si>
    <t>амплитуда, В</t>
  </si>
  <si>
    <t>u, V</t>
  </si>
  <si>
    <t>U0</t>
  </si>
  <si>
    <t>9,5 V</t>
  </si>
  <si>
    <t>408 Om</t>
  </si>
  <si>
    <t>9,8 V</t>
  </si>
  <si>
    <t>50 гц</t>
  </si>
  <si>
    <t>500 гц</t>
  </si>
  <si>
    <t>1500 гц</t>
  </si>
  <si>
    <t>100,13 Гн</t>
  </si>
  <si>
    <t>28,6 Ом</t>
  </si>
  <si>
    <t>Т теор, мс</t>
  </si>
  <si>
    <t>Т, мкс</t>
  </si>
  <si>
    <t>Т теор, мкс</t>
  </si>
  <si>
    <t>R, Ом</t>
  </si>
  <si>
    <t>Тета</t>
  </si>
  <si>
    <t>Q</t>
  </si>
  <si>
    <t>1/Тета2</t>
  </si>
  <si>
    <t>1/R2, Om</t>
  </si>
  <si>
    <t>2000 Ом                                                                                             2400 Ом</t>
  </si>
  <si>
    <t>Р, Ом</t>
  </si>
  <si>
    <t>Добротность</t>
  </si>
  <si>
    <t>U/U_0</t>
  </si>
  <si>
    <t>\nu/nu_0</t>
  </si>
  <si>
    <t>Фи</t>
  </si>
  <si>
    <t>Theta</t>
  </si>
  <si>
    <t>R, Om</t>
  </si>
  <si>
    <t>Данные для 2000 Ом (Q ≈ 2.4)</t>
  </si>
  <si>
    <t>Примечания:</t>
  </si>
  <si>
    <t>Для удобства копирования используйте разделитель запятая</t>
  </si>
  <si>
    <t>Данные отсортированы по частоте для каждого сопротивления</t>
  </si>
  <si>
    <t>Значения округлены до 3 знаков после запятой для лучшей читаемости</t>
  </si>
  <si>
    <t>Ширина резонансной кривой для 2000 Ом примерно в 5 раз больше, чем для 408 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</si>
</sst>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0"/>
      <color rgb="FFF9FAFB"/>
      <name val="Segoe UI"/>
      <family val="2"/>
      <charset val="204"/>
    </font>
    <font>
      <b/>
      <sz val="13"/>
      <color rgb="FFF9FAFB"/>
      <name val="Segoe UI"/>
      <family val="2"/>
      <charset val="204"/>
    </font>
    <font>
      <sz val="10"/>
      <color rgb="FFF9FAFB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4"/>
    </xf>
    <xf numFmtId="0" fontId="0" fillId="0" borderId="0" xfId="0" applyFont="1" applyAlignment="1">
      <alignment horizontal="left" vertical="center" wrapText="1" indent="1"/>
    </xf>
    <xf numFmtId="165" fontId="0" fillId="0" borderId="0" xfId="0" applyNumberFormat="1" applyFont="1" applyAlignment="1">
      <alignment horizontal="left" vertical="center" wrapText="1" indent="1"/>
    </xf>
    <xf numFmtId="2" fontId="0" fillId="0" borderId="0" xfId="0" applyNumberFormat="1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</c:numCache>
            </c:numRef>
          </c:xVal>
          <c:yVal>
            <c:numRef>
              <c:f>Лист1!$D$2:$D$11</c:f>
              <c:numCache>
                <c:formatCode>General</c:formatCode>
                <c:ptCount val="10"/>
                <c:pt idx="0">
                  <c:v>68</c:v>
                </c:pt>
                <c:pt idx="1">
                  <c:v>94</c:v>
                </c:pt>
                <c:pt idx="2">
                  <c:v>112</c:v>
                </c:pt>
                <c:pt idx="3">
                  <c:v>128</c:v>
                </c:pt>
                <c:pt idx="4">
                  <c:v>142</c:v>
                </c:pt>
                <c:pt idx="5">
                  <c:v>158</c:v>
                </c:pt>
                <c:pt idx="6">
                  <c:v>166</c:v>
                </c:pt>
                <c:pt idx="7">
                  <c:v>178</c:v>
                </c:pt>
                <c:pt idx="8">
                  <c:v>192</c:v>
                </c:pt>
                <c:pt idx="9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4-4485-A403-4A04DC5DFE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</c:numCache>
            </c:numRef>
          </c:xVal>
          <c:yVal>
            <c:numRef>
              <c:f>Лист1!$E$2:$E$11</c:f>
              <c:numCache>
                <c:formatCode>0.00</c:formatCode>
                <c:ptCount val="10"/>
                <c:pt idx="0">
                  <c:v>67.990072965838181</c:v>
                </c:pt>
                <c:pt idx="1">
                  <c:v>92.575692932324316</c:v>
                </c:pt>
                <c:pt idx="2">
                  <c:v>111.88327766873834</c:v>
                </c:pt>
                <c:pt idx="3">
                  <c:v>128.3178737429046</c:v>
                </c:pt>
                <c:pt idx="4">
                  <c:v>142.87437006650282</c:v>
                </c:pt>
                <c:pt idx="5">
                  <c:v>156.07912904004817</c:v>
                </c:pt>
                <c:pt idx="6">
                  <c:v>168.25071596251829</c:v>
                </c:pt>
                <c:pt idx="7">
                  <c:v>179.59931047167191</c:v>
                </c:pt>
                <c:pt idx="8">
                  <c:v>190.27222924510031</c:v>
                </c:pt>
                <c:pt idx="9">
                  <c:v>200.37746909745118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4-4485-A403-4A04DC5DF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577296"/>
        <c:axId val="466579216"/>
      </c:scatterChart>
      <c:valAx>
        <c:axId val="4665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579216"/>
        <c:crosses val="autoZero"/>
        <c:crossBetween val="midCat"/>
      </c:valAx>
      <c:valAx>
        <c:axId val="4665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657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'2.5'!$H$20:$H$35</c:f>
              <c:numCache>
                <c:formatCode>General</c:formatCode>
                <c:ptCount val="16"/>
                <c:pt idx="0">
                  <c:v>1</c:v>
                </c:pt>
                <c:pt idx="1">
                  <c:v>0.98581560283687941</c:v>
                </c:pt>
                <c:pt idx="2">
                  <c:v>0.97163120567375882</c:v>
                </c:pt>
                <c:pt idx="3">
                  <c:v>0.95744680851063835</c:v>
                </c:pt>
                <c:pt idx="4">
                  <c:v>0.94326241134751776</c:v>
                </c:pt>
                <c:pt idx="5">
                  <c:v>0.92907801418439717</c:v>
                </c:pt>
                <c:pt idx="6">
                  <c:v>0.91489361702127658</c:v>
                </c:pt>
                <c:pt idx="7">
                  <c:v>0.900709219858156</c:v>
                </c:pt>
                <c:pt idx="8">
                  <c:v>1.0141843971631206</c:v>
                </c:pt>
                <c:pt idx="9">
                  <c:v>1.0283687943262412</c:v>
                </c:pt>
                <c:pt idx="10">
                  <c:v>1.0425531914893618</c:v>
                </c:pt>
                <c:pt idx="11">
                  <c:v>1.0567375886524824</c:v>
                </c:pt>
                <c:pt idx="12">
                  <c:v>1.0709219858156029</c:v>
                </c:pt>
                <c:pt idx="13">
                  <c:v>1.0851063829787233</c:v>
                </c:pt>
                <c:pt idx="14">
                  <c:v>1.0992907801418439</c:v>
                </c:pt>
                <c:pt idx="15">
                  <c:v>1.1134751773049645</c:v>
                </c:pt>
              </c:numCache>
            </c:numRef>
          </c:xVal>
          <c:yVal>
            <c:numRef>
              <c:f>'2.5'!$I$20:$I$35</c:f>
              <c:numCache>
                <c:formatCode>General</c:formatCode>
                <c:ptCount val="16"/>
                <c:pt idx="0">
                  <c:v>1</c:v>
                </c:pt>
                <c:pt idx="1">
                  <c:v>0.91919191919191912</c:v>
                </c:pt>
                <c:pt idx="2">
                  <c:v>0.77777777777777779</c:v>
                </c:pt>
                <c:pt idx="3">
                  <c:v>0.63636363636363635</c:v>
                </c:pt>
                <c:pt idx="4">
                  <c:v>0.50505050505050508</c:v>
                </c:pt>
                <c:pt idx="5">
                  <c:v>0.41414141414141409</c:v>
                </c:pt>
                <c:pt idx="6">
                  <c:v>0.35353535353535354</c:v>
                </c:pt>
                <c:pt idx="7">
                  <c:v>0.29292929292929293</c:v>
                </c:pt>
                <c:pt idx="8">
                  <c:v>0.93939393939393945</c:v>
                </c:pt>
                <c:pt idx="9">
                  <c:v>0.81818181818181812</c:v>
                </c:pt>
                <c:pt idx="10">
                  <c:v>0.6767676767676768</c:v>
                </c:pt>
                <c:pt idx="11">
                  <c:v>0.55555555555555558</c:v>
                </c:pt>
                <c:pt idx="12">
                  <c:v>0.47474747474747475</c:v>
                </c:pt>
                <c:pt idx="13">
                  <c:v>0.41414141414141409</c:v>
                </c:pt>
                <c:pt idx="14">
                  <c:v>0.37373737373737376</c:v>
                </c:pt>
                <c:pt idx="15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5-47C7-9251-24D1FD273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16384"/>
        <c:axId val="119107264"/>
      </c:scatterChart>
      <c:valAx>
        <c:axId val="119116384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07264"/>
        <c:crosses val="autoZero"/>
        <c:crossBetween val="midCat"/>
      </c:valAx>
      <c:valAx>
        <c:axId val="11910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1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'2.5'!$C$17:$C$27</c:f>
              <c:numCache>
                <c:formatCode>General</c:formatCode>
                <c:ptCount val="11"/>
                <c:pt idx="0">
                  <c:v>1</c:v>
                </c:pt>
                <c:pt idx="1">
                  <c:v>0.98581560283687941</c:v>
                </c:pt>
                <c:pt idx="2">
                  <c:v>0.97163120567375882</c:v>
                </c:pt>
                <c:pt idx="3">
                  <c:v>0.95744680851063835</c:v>
                </c:pt>
                <c:pt idx="4">
                  <c:v>0.94326241134751776</c:v>
                </c:pt>
                <c:pt idx="5">
                  <c:v>1.0141843971631206</c:v>
                </c:pt>
                <c:pt idx="6">
                  <c:v>1.0283687943262412</c:v>
                </c:pt>
                <c:pt idx="7">
                  <c:v>1.0425531914893618</c:v>
                </c:pt>
                <c:pt idx="8">
                  <c:v>1.0567375886524824</c:v>
                </c:pt>
                <c:pt idx="9">
                  <c:v>1.0709219858156029</c:v>
                </c:pt>
                <c:pt idx="10">
                  <c:v>1.0851063829787233</c:v>
                </c:pt>
              </c:numCache>
            </c:numRef>
          </c:xVal>
          <c:yVal>
            <c:numRef>
              <c:f>'2.5'!$D$17:$D$27</c:f>
              <c:numCache>
                <c:formatCode>General</c:formatCode>
                <c:ptCount val="11"/>
                <c:pt idx="0">
                  <c:v>1</c:v>
                </c:pt>
                <c:pt idx="1">
                  <c:v>0.95959595959595956</c:v>
                </c:pt>
                <c:pt idx="2">
                  <c:v>0.82828282828282818</c:v>
                </c:pt>
                <c:pt idx="3">
                  <c:v>0.6767676767676768</c:v>
                </c:pt>
                <c:pt idx="4">
                  <c:v>0.53535353535353536</c:v>
                </c:pt>
                <c:pt idx="5">
                  <c:v>0.89898989898989901</c:v>
                </c:pt>
                <c:pt idx="6">
                  <c:v>0.75757575757575757</c:v>
                </c:pt>
                <c:pt idx="7">
                  <c:v>0.63636363636363635</c:v>
                </c:pt>
                <c:pt idx="8">
                  <c:v>0.5252525252525253</c:v>
                </c:pt>
                <c:pt idx="9">
                  <c:v>0.45454545454545453</c:v>
                </c:pt>
                <c:pt idx="10">
                  <c:v>0.41414141414141409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F-4576-B502-CC42C9DA1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994351"/>
        <c:axId val="937011151"/>
      </c:scatterChart>
      <c:valAx>
        <c:axId val="93699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011151"/>
        <c:crosses val="autoZero"/>
        <c:crossBetween val="midCat"/>
      </c:valAx>
      <c:valAx>
        <c:axId val="9370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699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13</xdr:row>
      <xdr:rowOff>22860</xdr:rowOff>
    </xdr:from>
    <xdr:to>
      <xdr:col>13</xdr:col>
      <xdr:colOff>0</xdr:colOff>
      <xdr:row>30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E3EA87-2D76-B7CD-85C4-16F55AC49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17</xdr:row>
      <xdr:rowOff>57150</xdr:rowOff>
    </xdr:from>
    <xdr:to>
      <xdr:col>18</xdr:col>
      <xdr:colOff>190500</xdr:colOff>
      <xdr:row>32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1EAC5F-A209-EF52-FC4D-1FE7791BD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5</xdr:row>
      <xdr:rowOff>80010</xdr:rowOff>
    </xdr:from>
    <xdr:to>
      <xdr:col>19</xdr:col>
      <xdr:colOff>114300</xdr:colOff>
      <xdr:row>20</xdr:row>
      <xdr:rowOff>80010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9751C09-266F-458A-CA4E-A8F912CE2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4037-2F74-4782-88DC-4D06369B6D71}">
  <dimension ref="A1:AB27"/>
  <sheetViews>
    <sheetView topLeftCell="C1" workbookViewId="0">
      <selection activeCell="J7" sqref="J7"/>
    </sheetView>
  </sheetViews>
  <sheetFormatPr defaultRowHeight="14.4" x14ac:dyDescent="0.3"/>
  <cols>
    <col min="5" max="5" width="11" customWidth="1"/>
  </cols>
  <sheetData>
    <row r="1" spans="1:28" x14ac:dyDescent="0.3">
      <c r="A1" t="s">
        <v>0</v>
      </c>
      <c r="C1" t="s">
        <v>3</v>
      </c>
      <c r="D1" t="s">
        <v>2</v>
      </c>
      <c r="E1" t="s">
        <v>32</v>
      </c>
      <c r="G1" t="s">
        <v>9</v>
      </c>
      <c r="H1" t="s">
        <v>7</v>
      </c>
      <c r="I1" t="s">
        <v>8</v>
      </c>
      <c r="K1" t="s">
        <v>10</v>
      </c>
      <c r="O1" t="s">
        <v>11</v>
      </c>
      <c r="R1" t="s">
        <v>12</v>
      </c>
      <c r="V1" t="s">
        <v>13</v>
      </c>
      <c r="Z1" t="s">
        <v>14</v>
      </c>
    </row>
    <row r="2" spans="1:28" x14ac:dyDescent="0.3">
      <c r="A2" t="s">
        <v>4</v>
      </c>
      <c r="C2">
        <v>0</v>
      </c>
      <c r="D2">
        <v>68</v>
      </c>
      <c r="E2" s="3">
        <f>2*3.1415*(0.1*(C2+0.001171)*10^(-6))^(0.5)*1000000</f>
        <v>67.990072965838181</v>
      </c>
      <c r="H2">
        <v>1</v>
      </c>
      <c r="I2">
        <v>560</v>
      </c>
      <c r="L2">
        <v>1</v>
      </c>
      <c r="M2">
        <v>516</v>
      </c>
      <c r="O2">
        <v>1</v>
      </c>
      <c r="P2">
        <v>460</v>
      </c>
      <c r="S2">
        <v>1</v>
      </c>
      <c r="T2">
        <v>384</v>
      </c>
      <c r="W2">
        <v>1</v>
      </c>
      <c r="X2">
        <v>280</v>
      </c>
      <c r="AA2">
        <v>1</v>
      </c>
      <c r="AB2">
        <v>208</v>
      </c>
    </row>
    <row r="3" spans="1:28" x14ac:dyDescent="0.3">
      <c r="C3">
        <v>1E-3</v>
      </c>
      <c r="D3">
        <v>94</v>
      </c>
      <c r="E3" s="3">
        <f t="shared" ref="E3:E11" si="0">2*3.1415*(0.1*(C3+0.001171)*10^(-6))^(0.5)*1000000</f>
        <v>92.575692932324316</v>
      </c>
      <c r="H3">
        <v>2</v>
      </c>
      <c r="I3">
        <v>384</v>
      </c>
      <c r="L3">
        <v>4</v>
      </c>
      <c r="M3">
        <v>120</v>
      </c>
      <c r="O3">
        <v>4</v>
      </c>
      <c r="P3">
        <v>60</v>
      </c>
      <c r="S3">
        <v>3</v>
      </c>
      <c r="T3">
        <v>56</v>
      </c>
      <c r="W3">
        <v>2</v>
      </c>
      <c r="X3">
        <v>60</v>
      </c>
      <c r="AA3">
        <v>2</v>
      </c>
      <c r="AB3">
        <v>32</v>
      </c>
    </row>
    <row r="4" spans="1:28" x14ac:dyDescent="0.3">
      <c r="A4" t="s">
        <v>1</v>
      </c>
      <c r="C4">
        <v>2E-3</v>
      </c>
      <c r="D4">
        <v>112</v>
      </c>
      <c r="E4" s="3">
        <f t="shared" si="0"/>
        <v>111.88327766873834</v>
      </c>
      <c r="H4">
        <v>3</v>
      </c>
      <c r="I4">
        <v>252</v>
      </c>
    </row>
    <row r="5" spans="1:28" x14ac:dyDescent="0.3">
      <c r="A5">
        <v>1.1709999999999999E-3</v>
      </c>
      <c r="C5">
        <v>3.0000000000000001E-3</v>
      </c>
      <c r="D5">
        <v>128</v>
      </c>
      <c r="E5" s="3">
        <f t="shared" si="0"/>
        <v>128.3178737429046</v>
      </c>
      <c r="H5">
        <v>4</v>
      </c>
      <c r="I5">
        <v>170</v>
      </c>
    </row>
    <row r="6" spans="1:28" x14ac:dyDescent="0.3">
      <c r="C6">
        <v>4.0000000000000001E-3</v>
      </c>
      <c r="D6">
        <v>142</v>
      </c>
      <c r="E6" s="3">
        <f>2*3.1415*(0.1*(C6+0.001171)*10^(-6))^(0.5)*1000000</f>
        <v>142.87437006650282</v>
      </c>
    </row>
    <row r="7" spans="1:28" x14ac:dyDescent="0.3">
      <c r="C7">
        <v>5.0000000000000001E-3</v>
      </c>
      <c r="D7">
        <v>158</v>
      </c>
      <c r="E7" s="3">
        <f t="shared" si="0"/>
        <v>156.07912904004817</v>
      </c>
      <c r="N7" t="s">
        <v>35</v>
      </c>
      <c r="O7" t="s">
        <v>35</v>
      </c>
      <c r="P7" t="s">
        <v>36</v>
      </c>
      <c r="Q7" t="s">
        <v>37</v>
      </c>
      <c r="S7" t="s">
        <v>39</v>
      </c>
      <c r="T7" t="s">
        <v>38</v>
      </c>
    </row>
    <row r="8" spans="1:28" x14ac:dyDescent="0.3">
      <c r="A8" t="s">
        <v>5</v>
      </c>
      <c r="C8">
        <v>6.0000000000000001E-3</v>
      </c>
      <c r="D8">
        <v>166</v>
      </c>
      <c r="E8" s="3">
        <f t="shared" si="0"/>
        <v>168.25071596251829</v>
      </c>
      <c r="N8">
        <v>408</v>
      </c>
      <c r="O8">
        <f>N8+29</f>
        <v>437</v>
      </c>
      <c r="P8" s="2">
        <f>1/(H5-H2)*LN(I2/I5)</f>
        <v>0.39737944889297766</v>
      </c>
      <c r="Q8" s="2">
        <f>3.14/P8</f>
        <v>7.9017674636859887</v>
      </c>
      <c r="S8">
        <f>1/O8^2</f>
        <v>5.2364519895899339E-6</v>
      </c>
      <c r="T8">
        <f>1/P8^2</f>
        <v>6.3327040701617205</v>
      </c>
    </row>
    <row r="9" spans="1:28" x14ac:dyDescent="0.3">
      <c r="A9">
        <v>6.0000000000000001E-3</v>
      </c>
      <c r="C9">
        <v>7.0000000000000001E-3</v>
      </c>
      <c r="D9">
        <v>178</v>
      </c>
      <c r="E9" s="3">
        <f t="shared" si="0"/>
        <v>179.59931047167191</v>
      </c>
      <c r="N9">
        <v>500</v>
      </c>
      <c r="O9">
        <f t="shared" ref="O9:O13" si="1">N9+29</f>
        <v>529</v>
      </c>
      <c r="P9" s="2">
        <f>1/(L3-L2)*LN(M2/M3)</f>
        <v>0.48620500756650553</v>
      </c>
      <c r="Q9" s="2">
        <f t="shared" ref="Q9:Q13" si="2">3.14/P9</f>
        <v>6.4581811193511731</v>
      </c>
      <c r="S9">
        <f t="shared" ref="S9:S13" si="3">1/O9^2</f>
        <v>3.5734577849564572E-6</v>
      </c>
      <c r="T9">
        <f t="shared" ref="T9:T13" si="4">1/P9^2</f>
        <v>4.2302023784275189</v>
      </c>
    </row>
    <row r="10" spans="1:28" x14ac:dyDescent="0.3">
      <c r="C10">
        <v>8.0000000000000002E-3</v>
      </c>
      <c r="D10">
        <v>192</v>
      </c>
      <c r="E10" s="3">
        <f t="shared" si="0"/>
        <v>190.27222924510031</v>
      </c>
      <c r="N10">
        <v>700</v>
      </c>
      <c r="O10">
        <f t="shared" si="1"/>
        <v>729</v>
      </c>
      <c r="P10" s="2">
        <f>1/3*LN(460/60)</f>
        <v>0.6789606424203467</v>
      </c>
      <c r="Q10" s="2">
        <f t="shared" si="2"/>
        <v>4.6247157844180551</v>
      </c>
      <c r="S10">
        <f t="shared" si="3"/>
        <v>1.8816764231589208E-6</v>
      </c>
      <c r="T10">
        <f t="shared" si="4"/>
        <v>2.1692559623763139</v>
      </c>
    </row>
    <row r="11" spans="1:28" x14ac:dyDescent="0.3">
      <c r="C11">
        <v>8.9999999999999993E-3</v>
      </c>
      <c r="D11">
        <v>200</v>
      </c>
      <c r="E11" s="3">
        <f t="shared" si="0"/>
        <v>200.37746909745118</v>
      </c>
      <c r="N11">
        <v>1000</v>
      </c>
      <c r="O11">
        <f t="shared" si="1"/>
        <v>1029</v>
      </c>
      <c r="P11" s="2">
        <f>1/2*LN(384/56)</f>
        <v>0.96264543092628874</v>
      </c>
      <c r="Q11" s="2">
        <f t="shared" si="2"/>
        <v>3.2618448071566601</v>
      </c>
      <c r="S11">
        <f t="shared" si="3"/>
        <v>9.444288613682319E-7</v>
      </c>
      <c r="T11">
        <f t="shared" si="4"/>
        <v>1.0791139139493355</v>
      </c>
    </row>
    <row r="12" spans="1:28" x14ac:dyDescent="0.3">
      <c r="A12" t="s">
        <v>6</v>
      </c>
      <c r="N12">
        <v>1500</v>
      </c>
      <c r="O12">
        <f t="shared" si="1"/>
        <v>1529</v>
      </c>
      <c r="P12" s="2">
        <f>LN(280/60)</f>
        <v>1.5404450409471491</v>
      </c>
      <c r="Q12" s="2">
        <f t="shared" si="2"/>
        <v>2.0383719746790563</v>
      </c>
      <c r="S12">
        <f t="shared" si="3"/>
        <v>4.2774508617138633E-7</v>
      </c>
      <c r="T12">
        <f t="shared" si="4"/>
        <v>0.42141266452563952</v>
      </c>
    </row>
    <row r="13" spans="1:28" x14ac:dyDescent="0.3">
      <c r="A13">
        <v>8165</v>
      </c>
      <c r="N13">
        <v>2000</v>
      </c>
      <c r="O13">
        <f t="shared" si="1"/>
        <v>2029</v>
      </c>
      <c r="P13" s="2">
        <f>LN(208/32)</f>
        <v>1.8718021769015913</v>
      </c>
      <c r="Q13" s="2">
        <f t="shared" si="2"/>
        <v>1.6775276996406032</v>
      </c>
      <c r="S13">
        <f t="shared" si="3"/>
        <v>2.4290469318586753E-7</v>
      </c>
      <c r="T13">
        <f t="shared" si="4"/>
        <v>0.28541717544945983</v>
      </c>
    </row>
    <row r="17" spans="3:5" x14ac:dyDescent="0.3">
      <c r="C17" t="s">
        <v>3</v>
      </c>
      <c r="D17" t="s">
        <v>33</v>
      </c>
      <c r="E17" t="s">
        <v>34</v>
      </c>
    </row>
    <row r="18" spans="3:5" x14ac:dyDescent="0.3">
      <c r="C18" s="1">
        <f>C2+A$5</f>
        <v>1.1709999999999999E-3</v>
      </c>
      <c r="D18">
        <v>68</v>
      </c>
      <c r="E18" s="3">
        <v>67.990072965838181</v>
      </c>
    </row>
    <row r="19" spans="3:5" x14ac:dyDescent="0.3">
      <c r="C19" s="1">
        <f t="shared" ref="C19:C27" si="5">C3+A$5</f>
        <v>2.1710000000000002E-3</v>
      </c>
      <c r="D19">
        <v>94</v>
      </c>
      <c r="E19" s="3">
        <v>92.575692932324316</v>
      </c>
    </row>
    <row r="20" spans="3:5" x14ac:dyDescent="0.3">
      <c r="C20" s="1">
        <f t="shared" si="5"/>
        <v>3.1710000000000002E-3</v>
      </c>
      <c r="D20">
        <v>112</v>
      </c>
      <c r="E20" s="3">
        <v>111.88327766873834</v>
      </c>
    </row>
    <row r="21" spans="3:5" x14ac:dyDescent="0.3">
      <c r="C21" s="1">
        <f t="shared" si="5"/>
        <v>4.1710000000000002E-3</v>
      </c>
      <c r="D21">
        <v>128</v>
      </c>
      <c r="E21" s="3">
        <v>128.3178737429046</v>
      </c>
    </row>
    <row r="22" spans="3:5" x14ac:dyDescent="0.3">
      <c r="C22" s="1">
        <f t="shared" si="5"/>
        <v>5.1710000000000002E-3</v>
      </c>
      <c r="D22">
        <v>142</v>
      </c>
      <c r="E22" s="3">
        <v>142.87437006650282</v>
      </c>
    </row>
    <row r="23" spans="3:5" x14ac:dyDescent="0.3">
      <c r="C23" s="1">
        <f t="shared" si="5"/>
        <v>6.1710000000000003E-3</v>
      </c>
      <c r="D23">
        <v>158</v>
      </c>
      <c r="E23" s="3">
        <v>156.07912904004817</v>
      </c>
    </row>
    <row r="24" spans="3:5" x14ac:dyDescent="0.3">
      <c r="C24" s="1">
        <f t="shared" si="5"/>
        <v>7.1710000000000003E-3</v>
      </c>
      <c r="D24">
        <v>166</v>
      </c>
      <c r="E24" s="3">
        <v>168.25071596251829</v>
      </c>
    </row>
    <row r="25" spans="3:5" x14ac:dyDescent="0.3">
      <c r="C25" s="1">
        <f t="shared" si="5"/>
        <v>8.1709999999999994E-3</v>
      </c>
      <c r="D25">
        <v>178</v>
      </c>
      <c r="E25" s="3">
        <v>179.59931047167191</v>
      </c>
    </row>
    <row r="26" spans="3:5" x14ac:dyDescent="0.3">
      <c r="C26" s="1">
        <f t="shared" si="5"/>
        <v>9.1710000000000003E-3</v>
      </c>
      <c r="D26">
        <v>192</v>
      </c>
      <c r="E26" s="3">
        <v>190.27222924510031</v>
      </c>
    </row>
    <row r="27" spans="3:5" x14ac:dyDescent="0.3">
      <c r="C27" s="1">
        <f t="shared" si="5"/>
        <v>1.0170999999999999E-2</v>
      </c>
      <c r="D27">
        <v>200</v>
      </c>
      <c r="E27" s="3">
        <v>200.37746909745118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4E20-F125-4216-8AA1-117946898072}">
  <dimension ref="A1:I15"/>
  <sheetViews>
    <sheetView workbookViewId="0">
      <selection activeCell="C3" sqref="C3"/>
    </sheetView>
  </sheetViews>
  <sheetFormatPr defaultRowHeight="14.4" x14ac:dyDescent="0.3"/>
  <sheetData>
    <row r="1" spans="1:9" x14ac:dyDescent="0.3">
      <c r="A1" t="s">
        <v>15</v>
      </c>
      <c r="C1" t="s">
        <v>17</v>
      </c>
      <c r="E1" t="s">
        <v>40</v>
      </c>
      <c r="G1" t="s">
        <v>17</v>
      </c>
    </row>
    <row r="2" spans="1:9" x14ac:dyDescent="0.3">
      <c r="B2">
        <v>1</v>
      </c>
      <c r="C2">
        <v>564</v>
      </c>
      <c r="F2">
        <v>1</v>
      </c>
      <c r="G2">
        <v>724</v>
      </c>
    </row>
    <row r="3" spans="1:9" x14ac:dyDescent="0.3">
      <c r="B3">
        <v>2</v>
      </c>
      <c r="C3">
        <v>404</v>
      </c>
      <c r="F3">
        <v>2</v>
      </c>
      <c r="G3">
        <v>128</v>
      </c>
    </row>
    <row r="4" spans="1:9" x14ac:dyDescent="0.3">
      <c r="B4">
        <v>3</v>
      </c>
      <c r="C4">
        <v>276</v>
      </c>
    </row>
    <row r="5" spans="1:9" x14ac:dyDescent="0.3">
      <c r="B5">
        <v>4</v>
      </c>
      <c r="C5">
        <v>192</v>
      </c>
    </row>
    <row r="8" spans="1:9" x14ac:dyDescent="0.3">
      <c r="E8">
        <f>LN(C2/C3)</f>
        <v>0.33363937353690876</v>
      </c>
      <c r="F8">
        <f>1/2*LN(C2/C4)</f>
        <v>0.35732669289045449</v>
      </c>
      <c r="G8">
        <f>1/3*LN(C2/C5)</f>
        <v>0.3591862931567591</v>
      </c>
      <c r="I8">
        <f>LN(G2/G3)</f>
        <v>1.7327611284660993</v>
      </c>
    </row>
    <row r="9" spans="1:9" x14ac:dyDescent="0.3">
      <c r="E9">
        <f>LN(C3/C4)</f>
        <v>0.38101401224400011</v>
      </c>
      <c r="F9">
        <f>1/2*LN(C3/C5)</f>
        <v>0.37195975296668421</v>
      </c>
    </row>
    <row r="10" spans="1:9" x14ac:dyDescent="0.3">
      <c r="E10">
        <f t="shared" ref="E10" si="0">LN(C4/C5)</f>
        <v>0.36290549368936847</v>
      </c>
    </row>
    <row r="13" spans="1:9" x14ac:dyDescent="0.3">
      <c r="B13" t="s">
        <v>41</v>
      </c>
      <c r="C13" t="s">
        <v>36</v>
      </c>
      <c r="D13" t="s">
        <v>42</v>
      </c>
    </row>
    <row r="14" spans="1:9" x14ac:dyDescent="0.3">
      <c r="B14">
        <v>408</v>
      </c>
      <c r="C14" s="2">
        <f>E9</f>
        <v>0.38101401224400011</v>
      </c>
      <c r="D14">
        <f>3.1415/C14</f>
        <v>8.2451035894926452</v>
      </c>
    </row>
    <row r="15" spans="1:9" x14ac:dyDescent="0.3">
      <c r="B15">
        <v>2000</v>
      </c>
      <c r="C15" s="2">
        <f>I8</f>
        <v>1.7327611284660993</v>
      </c>
      <c r="D15">
        <f>3.1415/C15</f>
        <v>1.8130023512132718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B2DC-7045-41FF-AEB2-1834BF6BA5FD}">
  <dimension ref="A1:I69"/>
  <sheetViews>
    <sheetView tabSelected="1" topLeftCell="A41" workbookViewId="0">
      <selection activeCell="F52" sqref="F52"/>
    </sheetView>
  </sheetViews>
  <sheetFormatPr defaultRowHeight="14.4" x14ac:dyDescent="0.3"/>
  <cols>
    <col min="2" max="2" width="13.88671875" bestFit="1" customWidth="1"/>
    <col min="3" max="3" width="9" bestFit="1" customWidth="1"/>
  </cols>
  <sheetData>
    <row r="1" spans="1:9" x14ac:dyDescent="0.3">
      <c r="A1" t="s">
        <v>18</v>
      </c>
      <c r="C1" t="s">
        <v>20</v>
      </c>
      <c r="D1" t="s">
        <v>21</v>
      </c>
      <c r="E1" t="s">
        <v>45</v>
      </c>
      <c r="G1" t="s">
        <v>16</v>
      </c>
      <c r="H1" t="s">
        <v>20</v>
      </c>
      <c r="I1" t="s">
        <v>21</v>
      </c>
    </row>
    <row r="2" spans="1:9" x14ac:dyDescent="0.3">
      <c r="A2" t="s">
        <v>19</v>
      </c>
      <c r="C2">
        <v>705</v>
      </c>
      <c r="D2">
        <v>19.8</v>
      </c>
      <c r="E2">
        <f>-ATAN((2*3.14*C2*0.1 - 1/(2*3.14*C2*0.000000006))/437)</f>
        <v>1.559050068719382</v>
      </c>
      <c r="H2">
        <v>705</v>
      </c>
      <c r="I2">
        <v>19.8</v>
      </c>
    </row>
    <row r="3" spans="1:9" x14ac:dyDescent="0.3">
      <c r="C3">
        <v>695</v>
      </c>
      <c r="D3">
        <v>19</v>
      </c>
      <c r="E3">
        <f t="shared" ref="E3:E12" si="0">-ATAN((2*3.14*C3*0.1 - 1/(2*3.14*C3*0.000000006))/437)</f>
        <v>1.559220547454339</v>
      </c>
      <c r="H3">
        <v>695</v>
      </c>
      <c r="I3">
        <v>18.2</v>
      </c>
    </row>
    <row r="4" spans="1:9" x14ac:dyDescent="0.3">
      <c r="C4">
        <v>685</v>
      </c>
      <c r="D4">
        <v>16.399999999999999</v>
      </c>
      <c r="E4">
        <f t="shared" si="0"/>
        <v>1.5593908580618812</v>
      </c>
      <c r="H4">
        <v>685</v>
      </c>
      <c r="I4">
        <v>15.4</v>
      </c>
    </row>
    <row r="5" spans="1:9" x14ac:dyDescent="0.3">
      <c r="C5">
        <v>675</v>
      </c>
      <c r="D5">
        <v>13.4</v>
      </c>
      <c r="E5">
        <f t="shared" si="0"/>
        <v>1.5595610031417266</v>
      </c>
      <c r="H5">
        <v>675</v>
      </c>
      <c r="I5">
        <v>12.6</v>
      </c>
    </row>
    <row r="6" spans="1:9" x14ac:dyDescent="0.3">
      <c r="C6">
        <v>665</v>
      </c>
      <c r="D6">
        <v>10.6</v>
      </c>
      <c r="E6">
        <f t="shared" si="0"/>
        <v>1.5597309852855028</v>
      </c>
      <c r="H6">
        <v>665</v>
      </c>
      <c r="I6">
        <v>10</v>
      </c>
    </row>
    <row r="7" spans="1:9" x14ac:dyDescent="0.3">
      <c r="C7">
        <v>715</v>
      </c>
      <c r="D7">
        <v>17.8</v>
      </c>
      <c r="E7">
        <f t="shared" si="0"/>
        <v>1.5588794192490636</v>
      </c>
      <c r="H7">
        <v>655</v>
      </c>
      <c r="I7">
        <v>8.1999999999999993</v>
      </c>
    </row>
    <row r="8" spans="1:9" x14ac:dyDescent="0.3">
      <c r="C8">
        <v>725</v>
      </c>
      <c r="D8">
        <v>15</v>
      </c>
      <c r="E8">
        <f t="shared" si="0"/>
        <v>1.5587085964270717</v>
      </c>
      <c r="H8">
        <v>645</v>
      </c>
      <c r="I8">
        <v>7</v>
      </c>
    </row>
    <row r="9" spans="1:9" x14ac:dyDescent="0.3">
      <c r="C9">
        <v>735</v>
      </c>
      <c r="D9">
        <v>12.6</v>
      </c>
      <c r="E9">
        <f t="shared" si="0"/>
        <v>1.5585375976285905</v>
      </c>
      <c r="H9">
        <v>635</v>
      </c>
      <c r="I9">
        <v>5.8</v>
      </c>
    </row>
    <row r="10" spans="1:9" x14ac:dyDescent="0.3">
      <c r="C10">
        <v>745</v>
      </c>
      <c r="D10">
        <v>10.4</v>
      </c>
      <c r="E10">
        <f t="shared" si="0"/>
        <v>1.5583664202201597</v>
      </c>
      <c r="H10">
        <v>715</v>
      </c>
      <c r="I10">
        <v>18.600000000000001</v>
      </c>
    </row>
    <row r="11" spans="1:9" x14ac:dyDescent="0.3">
      <c r="C11">
        <v>755</v>
      </c>
      <c r="D11">
        <v>9</v>
      </c>
      <c r="E11">
        <f t="shared" si="0"/>
        <v>1.5581950615595366</v>
      </c>
      <c r="H11">
        <v>725</v>
      </c>
      <c r="I11">
        <v>16.2</v>
      </c>
    </row>
    <row r="12" spans="1:9" x14ac:dyDescent="0.3">
      <c r="C12">
        <v>765</v>
      </c>
      <c r="D12">
        <v>8.1999999999999993</v>
      </c>
      <c r="E12">
        <f t="shared" si="0"/>
        <v>1.5580235189955527</v>
      </c>
      <c r="H12">
        <v>735</v>
      </c>
      <c r="I12">
        <v>13.4</v>
      </c>
    </row>
    <row r="13" spans="1:9" x14ac:dyDescent="0.3">
      <c r="C13" t="s">
        <v>15</v>
      </c>
      <c r="H13">
        <v>745</v>
      </c>
      <c r="I13">
        <v>11</v>
      </c>
    </row>
    <row r="14" spans="1:9" x14ac:dyDescent="0.3">
      <c r="H14">
        <v>755</v>
      </c>
      <c r="I14">
        <v>9.4</v>
      </c>
    </row>
    <row r="15" spans="1:9" x14ac:dyDescent="0.3">
      <c r="H15">
        <v>765</v>
      </c>
      <c r="I15">
        <v>8.1999999999999993</v>
      </c>
    </row>
    <row r="16" spans="1:9" x14ac:dyDescent="0.3">
      <c r="C16" t="s">
        <v>44</v>
      </c>
      <c r="D16" t="s">
        <v>43</v>
      </c>
      <c r="H16">
        <v>775</v>
      </c>
      <c r="I16">
        <v>7.4</v>
      </c>
    </row>
    <row r="17" spans="3:9" x14ac:dyDescent="0.3">
      <c r="C17">
        <f>C2/C$2</f>
        <v>1</v>
      </c>
      <c r="D17">
        <f>D2/D$2</f>
        <v>1</v>
      </c>
      <c r="H17">
        <v>785</v>
      </c>
      <c r="I17">
        <v>6.6</v>
      </c>
    </row>
    <row r="18" spans="3:9" x14ac:dyDescent="0.3">
      <c r="C18">
        <f t="shared" ref="C18:D27" si="1">C3/C$2</f>
        <v>0.98581560283687941</v>
      </c>
      <c r="D18">
        <f t="shared" si="1"/>
        <v>0.95959595959595956</v>
      </c>
    </row>
    <row r="19" spans="3:9" x14ac:dyDescent="0.3">
      <c r="C19">
        <f t="shared" si="1"/>
        <v>0.97163120567375882</v>
      </c>
      <c r="D19">
        <f t="shared" si="1"/>
        <v>0.82828282828282818</v>
      </c>
      <c r="H19" t="s">
        <v>44</v>
      </c>
      <c r="I19" t="s">
        <v>43</v>
      </c>
    </row>
    <row r="20" spans="3:9" x14ac:dyDescent="0.3">
      <c r="C20">
        <f t="shared" si="1"/>
        <v>0.95744680851063835</v>
      </c>
      <c r="D20">
        <f t="shared" si="1"/>
        <v>0.6767676767676768</v>
      </c>
      <c r="H20">
        <f>H2/H$2</f>
        <v>1</v>
      </c>
      <c r="I20">
        <f>I2/I$2</f>
        <v>1</v>
      </c>
    </row>
    <row r="21" spans="3:9" x14ac:dyDescent="0.3">
      <c r="C21">
        <f t="shared" si="1"/>
        <v>0.94326241134751776</v>
      </c>
      <c r="D21">
        <f t="shared" si="1"/>
        <v>0.53535353535353536</v>
      </c>
      <c r="H21">
        <f t="shared" ref="H21:I35" si="2">H3/H$2</f>
        <v>0.98581560283687941</v>
      </c>
      <c r="I21">
        <f t="shared" si="2"/>
        <v>0.91919191919191912</v>
      </c>
    </row>
    <row r="22" spans="3:9" x14ac:dyDescent="0.3">
      <c r="C22">
        <f t="shared" si="1"/>
        <v>1.0141843971631206</v>
      </c>
      <c r="D22">
        <f t="shared" si="1"/>
        <v>0.89898989898989901</v>
      </c>
      <c r="H22">
        <f t="shared" si="2"/>
        <v>0.97163120567375882</v>
      </c>
      <c r="I22">
        <f t="shared" si="2"/>
        <v>0.77777777777777779</v>
      </c>
    </row>
    <row r="23" spans="3:9" x14ac:dyDescent="0.3">
      <c r="C23">
        <f t="shared" si="1"/>
        <v>1.0283687943262412</v>
      </c>
      <c r="D23">
        <f t="shared" si="1"/>
        <v>0.75757575757575757</v>
      </c>
      <c r="H23">
        <f t="shared" si="2"/>
        <v>0.95744680851063835</v>
      </c>
      <c r="I23">
        <f t="shared" si="2"/>
        <v>0.63636363636363635</v>
      </c>
    </row>
    <row r="24" spans="3:9" x14ac:dyDescent="0.3">
      <c r="C24">
        <f t="shared" si="1"/>
        <v>1.0425531914893618</v>
      </c>
      <c r="D24">
        <f t="shared" si="1"/>
        <v>0.63636363636363635</v>
      </c>
      <c r="H24">
        <f t="shared" si="2"/>
        <v>0.94326241134751776</v>
      </c>
      <c r="I24">
        <f t="shared" si="2"/>
        <v>0.50505050505050508</v>
      </c>
    </row>
    <row r="25" spans="3:9" x14ac:dyDescent="0.3">
      <c r="C25">
        <f t="shared" si="1"/>
        <v>1.0567375886524824</v>
      </c>
      <c r="D25">
        <f t="shared" si="1"/>
        <v>0.5252525252525253</v>
      </c>
      <c r="H25">
        <f t="shared" si="2"/>
        <v>0.92907801418439717</v>
      </c>
      <c r="I25">
        <f t="shared" si="2"/>
        <v>0.41414141414141409</v>
      </c>
    </row>
    <row r="26" spans="3:9" x14ac:dyDescent="0.3">
      <c r="C26">
        <f>C11/C$2</f>
        <v>1.0709219858156029</v>
      </c>
      <c r="D26">
        <f t="shared" ref="D26:D27" si="3">D11/D$2</f>
        <v>0.45454545454545453</v>
      </c>
      <c r="H26">
        <f t="shared" si="2"/>
        <v>0.91489361702127658</v>
      </c>
      <c r="I26">
        <f t="shared" si="2"/>
        <v>0.35353535353535354</v>
      </c>
    </row>
    <row r="27" spans="3:9" x14ac:dyDescent="0.3">
      <c r="C27">
        <f t="shared" si="1"/>
        <v>1.0851063829787233</v>
      </c>
      <c r="D27">
        <f t="shared" si="3"/>
        <v>0.41414141414141409</v>
      </c>
      <c r="H27">
        <f t="shared" si="2"/>
        <v>0.900709219858156</v>
      </c>
      <c r="I27">
        <f t="shared" si="2"/>
        <v>0.29292929292929293</v>
      </c>
    </row>
    <row r="28" spans="3:9" x14ac:dyDescent="0.3">
      <c r="H28">
        <f t="shared" si="2"/>
        <v>1.0141843971631206</v>
      </c>
      <c r="I28">
        <f t="shared" si="2"/>
        <v>0.93939393939393945</v>
      </c>
    </row>
    <row r="29" spans="3:9" x14ac:dyDescent="0.3">
      <c r="H29">
        <f t="shared" si="2"/>
        <v>1.0283687943262412</v>
      </c>
      <c r="I29">
        <f t="shared" si="2"/>
        <v>0.81818181818181812</v>
      </c>
    </row>
    <row r="30" spans="3:9" x14ac:dyDescent="0.3">
      <c r="H30">
        <f t="shared" si="2"/>
        <v>1.0425531914893618</v>
      </c>
      <c r="I30">
        <f t="shared" si="2"/>
        <v>0.6767676767676768</v>
      </c>
    </row>
    <row r="31" spans="3:9" x14ac:dyDescent="0.3">
      <c r="H31">
        <f t="shared" si="2"/>
        <v>1.0567375886524824</v>
      </c>
      <c r="I31">
        <f t="shared" si="2"/>
        <v>0.55555555555555558</v>
      </c>
    </row>
    <row r="32" spans="3:9" x14ac:dyDescent="0.3">
      <c r="H32">
        <f t="shared" si="2"/>
        <v>1.0709219858156029</v>
      </c>
      <c r="I32">
        <f t="shared" si="2"/>
        <v>0.47474747474747475</v>
      </c>
    </row>
    <row r="33" spans="2:9" x14ac:dyDescent="0.3">
      <c r="H33">
        <f t="shared" si="2"/>
        <v>1.0851063829787233</v>
      </c>
      <c r="I33">
        <f t="shared" si="2"/>
        <v>0.41414141414141409</v>
      </c>
    </row>
    <row r="34" spans="2:9" x14ac:dyDescent="0.3">
      <c r="H34">
        <f>H16/H$2</f>
        <v>1.0992907801418439</v>
      </c>
      <c r="I34">
        <f t="shared" ref="I34:I35" si="4">I16/I$2</f>
        <v>0.37373737373737376</v>
      </c>
    </row>
    <row r="35" spans="2:9" x14ac:dyDescent="0.3">
      <c r="H35">
        <f t="shared" si="2"/>
        <v>1.1134751773049645</v>
      </c>
      <c r="I35">
        <f t="shared" si="4"/>
        <v>0.33333333333333331</v>
      </c>
    </row>
    <row r="40" spans="2:9" x14ac:dyDescent="0.3">
      <c r="B40" s="8">
        <v>1</v>
      </c>
      <c r="C40" s="7">
        <v>1</v>
      </c>
    </row>
    <row r="41" spans="2:9" x14ac:dyDescent="0.3">
      <c r="B41" s="8">
        <v>0.98581560300000004</v>
      </c>
      <c r="C41" s="7">
        <v>0.95899999999999996</v>
      </c>
    </row>
    <row r="42" spans="2:9" x14ac:dyDescent="0.3">
      <c r="B42" s="8">
        <v>0.97163120599999997</v>
      </c>
      <c r="C42" s="7">
        <v>0.82799999999999996</v>
      </c>
    </row>
    <row r="43" spans="2:9" x14ac:dyDescent="0.3">
      <c r="B43" s="8">
        <v>0.95744680900000001</v>
      </c>
      <c r="C43" s="7">
        <v>0.67700000000000005</v>
      </c>
    </row>
    <row r="44" spans="2:9" x14ac:dyDescent="0.3">
      <c r="B44" s="8">
        <v>0.94326241099999997</v>
      </c>
      <c r="C44" s="7">
        <v>0.53500000000000003</v>
      </c>
    </row>
    <row r="45" spans="2:9" x14ac:dyDescent="0.3">
      <c r="B45" s="8">
        <v>1.014184397</v>
      </c>
      <c r="C45" s="7">
        <v>0.89900000000000002</v>
      </c>
    </row>
    <row r="46" spans="2:9" x14ac:dyDescent="0.3">
      <c r="B46" s="8">
        <v>1.0283687939999999</v>
      </c>
      <c r="C46" s="7">
        <v>0.75800000000000001</v>
      </c>
    </row>
    <row r="47" spans="2:9" x14ac:dyDescent="0.3">
      <c r="B47" s="8">
        <v>1.0425531910000001</v>
      </c>
      <c r="C47" s="7">
        <v>0.63600000000000001</v>
      </c>
    </row>
    <row r="48" spans="2:9" x14ac:dyDescent="0.3">
      <c r="B48" s="8">
        <v>1.0567375889999999</v>
      </c>
      <c r="C48" s="7">
        <v>0.52500000000000002</v>
      </c>
    </row>
    <row r="49" spans="2:3" x14ac:dyDescent="0.3">
      <c r="B49" s="8">
        <v>1.0709219860000001</v>
      </c>
      <c r="C49" s="7">
        <v>0.45500000000000002</v>
      </c>
    </row>
    <row r="50" spans="2:3" x14ac:dyDescent="0.3">
      <c r="B50" s="8">
        <v>1.0851063830000001</v>
      </c>
      <c r="C50" s="7">
        <v>0.41399999999999998</v>
      </c>
    </row>
    <row r="51" spans="2:3" ht="16.2" customHeight="1" x14ac:dyDescent="0.3">
      <c r="B51" s="4" t="s">
        <v>48</v>
      </c>
    </row>
    <row r="52" spans="2:3" x14ac:dyDescent="0.3">
      <c r="B52" s="9">
        <v>1</v>
      </c>
      <c r="C52" s="9">
        <v>1</v>
      </c>
    </row>
    <row r="53" spans="2:3" x14ac:dyDescent="0.3">
      <c r="B53" s="9">
        <v>0.91</v>
      </c>
      <c r="C53" s="9">
        <v>0.85</v>
      </c>
    </row>
    <row r="54" spans="2:3" x14ac:dyDescent="0.3">
      <c r="B54" s="9">
        <v>0.85</v>
      </c>
      <c r="C54" s="9">
        <v>0.71</v>
      </c>
    </row>
    <row r="55" spans="2:3" x14ac:dyDescent="0.3">
      <c r="B55" s="9">
        <v>0.83</v>
      </c>
      <c r="C55" s="9">
        <v>0.55000000000000004</v>
      </c>
    </row>
    <row r="56" spans="2:3" x14ac:dyDescent="0.3">
      <c r="B56" s="9">
        <v>0.75</v>
      </c>
      <c r="C56" s="9">
        <v>0.42</v>
      </c>
    </row>
    <row r="57" spans="2:3" x14ac:dyDescent="0.3">
      <c r="B57" s="9">
        <v>0.7</v>
      </c>
      <c r="C57" s="9">
        <v>0.33</v>
      </c>
    </row>
    <row r="58" spans="2:3" x14ac:dyDescent="0.3">
      <c r="B58" s="9">
        <v>0.65</v>
      </c>
      <c r="C58" s="9">
        <v>0.27</v>
      </c>
    </row>
    <row r="59" spans="2:3" x14ac:dyDescent="0.3">
      <c r="B59" s="9">
        <v>1.1399999999999999</v>
      </c>
      <c r="C59" s="9">
        <v>0.82</v>
      </c>
    </row>
    <row r="60" spans="2:3" x14ac:dyDescent="0.3">
      <c r="B60" s="9">
        <v>1.1499999999999999</v>
      </c>
      <c r="C60" s="9">
        <v>0.65</v>
      </c>
    </row>
    <row r="61" spans="2:3" x14ac:dyDescent="0.3">
      <c r="B61" s="9">
        <v>1.22</v>
      </c>
      <c r="C61" s="9">
        <v>0.52</v>
      </c>
    </row>
    <row r="62" spans="2:3" x14ac:dyDescent="0.3">
      <c r="B62" s="9">
        <v>1.28</v>
      </c>
      <c r="C62" s="9">
        <v>0.42</v>
      </c>
    </row>
    <row r="63" spans="2:3" x14ac:dyDescent="0.3">
      <c r="B63" s="9">
        <v>1.32</v>
      </c>
      <c r="C63" s="9">
        <v>0.35</v>
      </c>
    </row>
    <row r="64" spans="2:3" x14ac:dyDescent="0.3">
      <c r="B64" s="9">
        <v>1.37</v>
      </c>
      <c r="C64" s="9">
        <v>0.33</v>
      </c>
    </row>
    <row r="65" spans="2:2" ht="13.2" customHeight="1" x14ac:dyDescent="0.3">
      <c r="B65" s="5" t="s">
        <v>49</v>
      </c>
    </row>
    <row r="66" spans="2:2" ht="12.6" customHeight="1" x14ac:dyDescent="0.3">
      <c r="B66" s="6" t="s">
        <v>50</v>
      </c>
    </row>
    <row r="67" spans="2:2" ht="15" customHeight="1" x14ac:dyDescent="0.3">
      <c r="B67" s="6" t="s">
        <v>51</v>
      </c>
    </row>
    <row r="68" spans="2:2" ht="14.4" customHeight="1" x14ac:dyDescent="0.3">
      <c r="B68" s="6" t="s">
        <v>52</v>
      </c>
    </row>
    <row r="69" spans="2:2" ht="16.8" customHeight="1" x14ac:dyDescent="0.3">
      <c r="B69" s="6" t="s">
        <v>53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642E-7629-48A9-8F0F-F4A967ADA14C}">
  <dimension ref="A1:M10"/>
  <sheetViews>
    <sheetView workbookViewId="0">
      <selection activeCell="C8" sqref="C8:E10"/>
    </sheetView>
  </sheetViews>
  <sheetFormatPr defaultRowHeight="14.4" x14ac:dyDescent="0.3"/>
  <sheetData>
    <row r="1" spans="1:13" x14ac:dyDescent="0.3">
      <c r="A1" t="s">
        <v>7</v>
      </c>
      <c r="B1" t="s">
        <v>22</v>
      </c>
      <c r="D1" t="s">
        <v>23</v>
      </c>
      <c r="E1" t="s">
        <v>36</v>
      </c>
      <c r="G1" t="s">
        <v>14</v>
      </c>
      <c r="H1" t="s">
        <v>7</v>
      </c>
      <c r="I1" t="s">
        <v>22</v>
      </c>
      <c r="K1" t="s">
        <v>23</v>
      </c>
    </row>
    <row r="2" spans="1:13" x14ac:dyDescent="0.3">
      <c r="A2">
        <v>1</v>
      </c>
      <c r="B2">
        <v>1.6</v>
      </c>
      <c r="D2" t="s">
        <v>24</v>
      </c>
      <c r="E2">
        <f>1/6*LN((9.5-B2)/(9.5-B3))</f>
        <v>0.30074974916758068</v>
      </c>
      <c r="H2">
        <v>1</v>
      </c>
      <c r="I2">
        <v>1.5</v>
      </c>
      <c r="K2" t="s">
        <v>26</v>
      </c>
      <c r="M2">
        <f>1/4*LN((9.8-I2)/(9.8-7.1))</f>
        <v>0.28075093544806712</v>
      </c>
    </row>
    <row r="3" spans="1:13" x14ac:dyDescent="0.3">
      <c r="A3">
        <v>7</v>
      </c>
      <c r="B3">
        <v>8.1999999999999993</v>
      </c>
      <c r="E3">
        <f>1/4*LN((9.5-B2)/(9.5-B4))</f>
        <v>0.25931083557295442</v>
      </c>
      <c r="H3">
        <v>5</v>
      </c>
      <c r="I3">
        <v>7.1</v>
      </c>
      <c r="M3">
        <f>1/2*LN((9.8-I4)/(9.8-I3))</f>
        <v>0.32770342628854904</v>
      </c>
    </row>
    <row r="4" spans="1:13" x14ac:dyDescent="0.3">
      <c r="A4">
        <v>5</v>
      </c>
      <c r="B4">
        <v>6.7</v>
      </c>
      <c r="H4">
        <v>3</v>
      </c>
      <c r="I4">
        <v>4.5999999999999996</v>
      </c>
      <c r="M4">
        <f>LN((9.8-I4)/(9.8-I5))</f>
        <v>0.16705408466316624</v>
      </c>
    </row>
    <row r="5" spans="1:13" x14ac:dyDescent="0.3">
      <c r="H5">
        <v>4</v>
      </c>
      <c r="I5">
        <v>5.4</v>
      </c>
      <c r="M5">
        <f>1/3*LN((9.8-I2)/(9.8-I5))</f>
        <v>0.21155032462611226</v>
      </c>
    </row>
    <row r="7" spans="1:13" x14ac:dyDescent="0.3">
      <c r="A7" t="s">
        <v>25</v>
      </c>
    </row>
    <row r="8" spans="1:13" x14ac:dyDescent="0.3">
      <c r="C8" t="s">
        <v>47</v>
      </c>
      <c r="D8" t="s">
        <v>46</v>
      </c>
      <c r="E8" t="s">
        <v>37</v>
      </c>
    </row>
    <row r="9" spans="1:13" x14ac:dyDescent="0.3">
      <c r="C9">
        <v>408</v>
      </c>
      <c r="D9">
        <v>0.32100000000000001</v>
      </c>
      <c r="E9">
        <f>3.14/D9</f>
        <v>9.7819314641744555</v>
      </c>
    </row>
    <row r="10" spans="1:13" x14ac:dyDescent="0.3">
      <c r="C10">
        <v>2000</v>
      </c>
      <c r="D10">
        <v>1.2809999999999999</v>
      </c>
      <c r="E10">
        <f>3.14/D10</f>
        <v>2.4512099921935988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4A16-50FD-4865-AA36-36D3CEE09BC4}">
  <dimension ref="A1:C3"/>
  <sheetViews>
    <sheetView workbookViewId="0">
      <selection activeCell="B4" sqref="B4"/>
    </sheetView>
  </sheetViews>
  <sheetFormatPr defaultRowHeight="14.4" x14ac:dyDescent="0.3"/>
  <sheetData>
    <row r="1" spans="1:3" x14ac:dyDescent="0.3">
      <c r="A1" t="s">
        <v>27</v>
      </c>
      <c r="B1" t="s">
        <v>30</v>
      </c>
      <c r="C1" t="s">
        <v>31</v>
      </c>
    </row>
    <row r="2" spans="1:3" x14ac:dyDescent="0.3">
      <c r="A2" t="s">
        <v>28</v>
      </c>
      <c r="B2">
        <v>100.09</v>
      </c>
      <c r="C2">
        <v>28.9</v>
      </c>
    </row>
    <row r="3" spans="1:3" x14ac:dyDescent="0.3">
      <c r="A3" t="s">
        <v>29</v>
      </c>
      <c r="B3">
        <v>100.12</v>
      </c>
      <c r="C3">
        <v>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Спираль</vt:lpstr>
      <vt:lpstr>2.5</vt:lpstr>
      <vt:lpstr>2,6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2025-10-21T06:11:34Z</dcterms:created>
  <dcterms:modified xsi:type="dcterms:W3CDTF">2025-11-18T08:22:57Z</dcterms:modified>
</cp:coreProperties>
</file>