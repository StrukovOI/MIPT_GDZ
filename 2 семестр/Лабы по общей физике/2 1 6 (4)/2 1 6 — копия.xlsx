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2 семестр\2 1 6 (4)\"/>
    </mc:Choice>
  </mc:AlternateContent>
  <xr:revisionPtr revIDLastSave="0" documentId="13_ncr:1_{30322F2B-6F76-46E7-83E0-2436B932F436}" xr6:coauthVersionLast="47" xr6:coauthVersionMax="47" xr10:uidLastSave="{00000000-0000-0000-0000-000000000000}"/>
  <bookViews>
    <workbookView xWindow="-108" yWindow="-108" windowWidth="23256" windowHeight="13896" xr2:uid="{DABC4790-8451-4042-8E94-40EFF5794B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4" i="1"/>
  <c r="D25" i="1"/>
  <c r="D20" i="1"/>
  <c r="D15" i="1"/>
  <c r="D16" i="1"/>
  <c r="D17" i="1"/>
  <c r="D18" i="1"/>
  <c r="D19" i="1"/>
  <c r="D14" i="1"/>
  <c r="D9" i="1"/>
  <c r="D10" i="1"/>
  <c r="D11" i="1"/>
  <c r="D12" i="1"/>
  <c r="D13" i="1"/>
  <c r="D8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<sst xmlns="http://schemas.openxmlformats.org/spreadsheetml/2006/main" count="3" uniqueCount="3">
  <si>
    <t>давление, бар</t>
  </si>
  <si>
    <t>температура, С</t>
  </si>
  <si>
    <t>напряжение, мВ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</si>
</sst>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Лист1!$B$2:$B$7</c:f>
              <c:numCache>
                <c:formatCode>General</c:formatCode>
                <c:ptCount val="6"/>
                <c:pt idx="0">
                  <c:v>4.0999999999999996</c:v>
                </c:pt>
                <c:pt idx="1">
                  <c:v>3.6</c:v>
                </c:pt>
                <c:pt idx="2">
                  <c:v>3.1</c:v>
                </c:pt>
                <c:pt idx="3">
                  <c:v>2.6</c:v>
                </c:pt>
                <c:pt idx="4">
                  <c:v>2.1</c:v>
                </c:pt>
                <c:pt idx="5">
                  <c:v>1.4</c:v>
                </c:pt>
              </c:numCache>
            </c:numRef>
          </c:xVal>
          <c:yVal>
            <c:numRef>
              <c:f>Лист1!$C$2:$C$7</c:f>
              <c:numCache>
                <c:formatCode>General</c:formatCode>
                <c:ptCount val="6"/>
                <c:pt idx="0">
                  <c:v>0.13100000000000001</c:v>
                </c:pt>
                <c:pt idx="1">
                  <c:v>0.11</c:v>
                </c:pt>
                <c:pt idx="2">
                  <c:v>9.4E-2</c:v>
                </c:pt>
                <c:pt idx="3">
                  <c:v>7.3999999999999996E-2</c:v>
                </c:pt>
                <c:pt idx="4">
                  <c:v>5.5E-2</c:v>
                </c:pt>
                <c:pt idx="5">
                  <c:v>3.2000000000000001E-2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7F-424F-9E57-F5F4B8ADF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826448"/>
        <c:axId val="981825008"/>
      </c:scatterChart>
      <c:valAx>
        <c:axId val="98182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1825008"/>
        <c:crosses val="autoZero"/>
        <c:crossBetween val="midCat"/>
      </c:valAx>
      <c:valAx>
        <c:axId val="98182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182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Лист1!$B$8:$B$13</c:f>
              <c:numCache>
                <c:formatCode>General</c:formatCode>
                <c:ptCount val="6"/>
                <c:pt idx="0">
                  <c:v>4.0999999999999996</c:v>
                </c:pt>
                <c:pt idx="1">
                  <c:v>3.6</c:v>
                </c:pt>
                <c:pt idx="2">
                  <c:v>3</c:v>
                </c:pt>
                <c:pt idx="3">
                  <c:v>2.5</c:v>
                </c:pt>
                <c:pt idx="4">
                  <c:v>1.9</c:v>
                </c:pt>
                <c:pt idx="5">
                  <c:v>1.5</c:v>
                </c:pt>
              </c:numCache>
            </c:numRef>
          </c:xVal>
          <c:yVal>
            <c:numRef>
              <c:f>Лист1!$C$8:$C$13</c:f>
              <c:numCache>
                <c:formatCode>General</c:formatCode>
                <c:ptCount val="6"/>
                <c:pt idx="0">
                  <c:v>0.13</c:v>
                </c:pt>
                <c:pt idx="1">
                  <c:v>0.108</c:v>
                </c:pt>
                <c:pt idx="2">
                  <c:v>8.6999999999999994E-2</c:v>
                </c:pt>
                <c:pt idx="3">
                  <c:v>7.0999999999999994E-2</c:v>
                </c:pt>
                <c:pt idx="4">
                  <c:v>5.2999999999999999E-2</c:v>
                </c:pt>
                <c:pt idx="5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C0-47C8-A437-60F959672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501904"/>
        <c:axId val="1557499024"/>
      </c:scatterChart>
      <c:valAx>
        <c:axId val="155750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7499024"/>
        <c:crosses val="autoZero"/>
        <c:crossBetween val="midCat"/>
      </c:valAx>
      <c:valAx>
        <c:axId val="155749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750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Лист1!$B$14:$B$19</c:f>
              <c:numCache>
                <c:formatCode>General</c:formatCode>
                <c:ptCount val="6"/>
                <c:pt idx="0">
                  <c:v>4.0999999999999996</c:v>
                </c:pt>
                <c:pt idx="1">
                  <c:v>3.5</c:v>
                </c:pt>
                <c:pt idx="2">
                  <c:v>3.05</c:v>
                </c:pt>
                <c:pt idx="3">
                  <c:v>2.5</c:v>
                </c:pt>
                <c:pt idx="4">
                  <c:v>1.9</c:v>
                </c:pt>
                <c:pt idx="5">
                  <c:v>1.6</c:v>
                </c:pt>
              </c:numCache>
            </c:numRef>
          </c:xVal>
          <c:yVal>
            <c:numRef>
              <c:f>Лист1!$C$14:$C$19</c:f>
              <c:numCache>
                <c:formatCode>General</c:formatCode>
                <c:ptCount val="6"/>
                <c:pt idx="0">
                  <c:v>0.126</c:v>
                </c:pt>
                <c:pt idx="1">
                  <c:v>0.104</c:v>
                </c:pt>
                <c:pt idx="2">
                  <c:v>8.5999999999999993E-2</c:v>
                </c:pt>
                <c:pt idx="3">
                  <c:v>7.0000000000000007E-2</c:v>
                </c:pt>
                <c:pt idx="4">
                  <c:v>5.2999999999999999E-2</c:v>
                </c:pt>
                <c:pt idx="5">
                  <c:v>4.3999999999999997E-2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9-423E-A70D-93E803E89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553664"/>
        <c:axId val="1563550784"/>
      </c:scatterChart>
      <c:valAx>
        <c:axId val="156355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3550784"/>
        <c:crosses val="autoZero"/>
        <c:crossBetween val="midCat"/>
      </c:valAx>
      <c:valAx>
        <c:axId val="15635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355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Лист1!$B$20:$B$25</c:f>
              <c:numCache>
                <c:formatCode>General</c:formatCode>
                <c:ptCount val="6"/>
                <c:pt idx="0">
                  <c:v>4.7</c:v>
                </c:pt>
                <c:pt idx="1">
                  <c:v>4.1500000000000004</c:v>
                </c:pt>
                <c:pt idx="2">
                  <c:v>3.55</c:v>
                </c:pt>
                <c:pt idx="3">
                  <c:v>3.15</c:v>
                </c:pt>
                <c:pt idx="4">
                  <c:v>2.4500000000000002</c:v>
                </c:pt>
                <c:pt idx="5">
                  <c:v>1.85</c:v>
                </c:pt>
              </c:numCache>
            </c:numRef>
          </c:xVal>
          <c:yVal>
            <c:numRef>
              <c:f>Лист1!$C$20:$C$25</c:f>
              <c:numCache>
                <c:formatCode>General</c:formatCode>
                <c:ptCount val="6"/>
                <c:pt idx="0">
                  <c:v>0.13400000000000001</c:v>
                </c:pt>
                <c:pt idx="1">
                  <c:v>0.11600000000000001</c:v>
                </c:pt>
                <c:pt idx="2">
                  <c:v>9.6000000000000002E-2</c:v>
                </c:pt>
                <c:pt idx="3">
                  <c:v>8.4000000000000005E-2</c:v>
                </c:pt>
                <c:pt idx="4">
                  <c:v>6.5000000000000002E-2</c:v>
                </c:pt>
                <c:pt idx="5">
                  <c:v>4.8000000000000001E-2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45-48ED-A139-B94FFCDDF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209968"/>
        <c:axId val="1206209488"/>
      </c:scatterChart>
      <c:valAx>
        <c:axId val="120620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6209488"/>
        <c:crosses val="autoZero"/>
        <c:crossBetween val="midCat"/>
      </c:valAx>
      <c:valAx>
        <c:axId val="12062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620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</xdr:colOff>
      <xdr:row>0</xdr:row>
      <xdr:rowOff>156210</xdr:rowOff>
    </xdr:from>
    <xdr:to>
      <xdr:col>12</xdr:col>
      <xdr:colOff>434340</xdr:colOff>
      <xdr:row>15</xdr:row>
      <xdr:rowOff>156210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49E6CA-3574-866A-DECE-103F683DE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152400</xdr:colOff>
      <xdr:row>0</xdr:row>
      <xdr:rowOff>163830</xdr:rowOff>
    </xdr:from>
    <xdr:to>
      <xdr:col>21</xdr:col>
      <xdr:colOff>457200</xdr:colOff>
      <xdr:row>15</xdr:row>
      <xdr:rowOff>163830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E04CCA5-73C7-5E45-04BC-B63B38653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144780</xdr:colOff>
      <xdr:row>16</xdr:row>
      <xdr:rowOff>110490</xdr:rowOff>
    </xdr:from>
    <xdr:to>
      <xdr:col>12</xdr:col>
      <xdr:colOff>449580</xdr:colOff>
      <xdr:row>31</xdr:row>
      <xdr:rowOff>110490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BE8BB98-8A52-0759-04AA-56FE733BA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152400</xdr:colOff>
      <xdr:row>16</xdr:row>
      <xdr:rowOff>102870</xdr:rowOff>
    </xdr:from>
    <xdr:to>
      <xdr:col>21</xdr:col>
      <xdr:colOff>457200</xdr:colOff>
      <xdr:row>31</xdr:row>
      <xdr:rowOff>102870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30BE593-A235-A98C-0E36-3C794A5B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050E-5F3F-40F1-8C16-7540DD90969D}">
  <dimension ref="A1:D25"/>
  <sheetViews>
    <sheetView tabSelected="1" workbookViewId="0">
      <selection activeCell="E4" sqref="E4"/>
    </sheetView>
  </sheetViews>
  <sheetFormatPr defaultRowHeight="14.4" x14ac:dyDescent="0.3"/>
  <sheetData>
    <row r="1" spans="1:4" x14ac:dyDescent="0.3">
      <c r="A1" t="s">
        <v>1</v>
      </c>
      <c r="B1" t="s">
        <v>0</v>
      </c>
      <c r="C1" t="s">
        <v>2</v>
      </c>
    </row>
    <row r="2" spans="1:4" x14ac:dyDescent="0.3">
      <c r="A2">
        <v>19.04</v>
      </c>
      <c r="B2">
        <v>4.0999999999999996</v>
      </c>
      <c r="C2">
        <v>0.13100000000000001</v>
      </c>
      <c r="D2">
        <f>C2/39.8*1000</f>
        <v>3.2914572864321614</v>
      </c>
    </row>
    <row r="3" spans="1:4" x14ac:dyDescent="0.3">
      <c r="A3">
        <v>19.059999999999999</v>
      </c>
      <c r="B3">
        <v>3.6</v>
      </c>
      <c r="C3">
        <v>0.11</v>
      </c>
      <c r="D3">
        <f t="shared" ref="D3:D7" si="0">C3/39.8*1000</f>
        <v>2.7638190954773871</v>
      </c>
    </row>
    <row r="4" spans="1:4" x14ac:dyDescent="0.3">
      <c r="A4">
        <v>19.09</v>
      </c>
      <c r="B4">
        <v>3.1</v>
      </c>
      <c r="C4">
        <v>9.4E-2</v>
      </c>
      <c r="D4">
        <f t="shared" si="0"/>
        <v>2.3618090452261309</v>
      </c>
    </row>
    <row r="5" spans="1:4" x14ac:dyDescent="0.3">
      <c r="A5">
        <v>19.11</v>
      </c>
      <c r="B5">
        <v>2.6</v>
      </c>
      <c r="C5">
        <v>7.3999999999999996E-2</v>
      </c>
      <c r="D5">
        <f t="shared" si="0"/>
        <v>1.8592964824120604</v>
      </c>
    </row>
    <row r="6" spans="1:4" x14ac:dyDescent="0.3">
      <c r="A6">
        <v>19.149999999999999</v>
      </c>
      <c r="B6">
        <v>2.1</v>
      </c>
      <c r="C6">
        <v>5.5E-2</v>
      </c>
      <c r="D6">
        <f t="shared" si="0"/>
        <v>1.3819095477386936</v>
      </c>
    </row>
    <row r="7" spans="1:4" x14ac:dyDescent="0.3">
      <c r="A7">
        <v>19.170000000000002</v>
      </c>
      <c r="B7">
        <v>1.4</v>
      </c>
      <c r="C7">
        <v>3.2000000000000001E-2</v>
      </c>
      <c r="D7">
        <f t="shared" si="0"/>
        <v>0.80402010050251271</v>
      </c>
    </row>
    <row r="8" spans="1:4" x14ac:dyDescent="0.3">
      <c r="A8">
        <v>30.04</v>
      </c>
      <c r="B8">
        <v>4.0999999999999996</v>
      </c>
      <c r="C8">
        <v>0.13</v>
      </c>
      <c r="D8">
        <f>C8/40.7*1000</f>
        <v>3.1941031941031937</v>
      </c>
    </row>
    <row r="9" spans="1:4" x14ac:dyDescent="0.3">
      <c r="A9">
        <v>30.07</v>
      </c>
      <c r="B9">
        <v>3.6</v>
      </c>
      <c r="C9">
        <v>0.108</v>
      </c>
      <c r="D9">
        <f t="shared" ref="D9:D13" si="1">C9/40.7*1000</f>
        <v>2.6535626535626533</v>
      </c>
    </row>
    <row r="10" spans="1:4" x14ac:dyDescent="0.3">
      <c r="A10">
        <v>30.06</v>
      </c>
      <c r="B10">
        <v>3</v>
      </c>
      <c r="C10">
        <v>8.6999999999999994E-2</v>
      </c>
      <c r="D10">
        <f t="shared" si="1"/>
        <v>2.137592137592137</v>
      </c>
    </row>
    <row r="11" spans="1:4" x14ac:dyDescent="0.3">
      <c r="A11">
        <v>30.05</v>
      </c>
      <c r="B11">
        <v>2.5</v>
      </c>
      <c r="C11">
        <v>7.0999999999999994E-2</v>
      </c>
      <c r="D11">
        <f t="shared" si="1"/>
        <v>1.7444717444717444</v>
      </c>
    </row>
    <row r="12" spans="1:4" x14ac:dyDescent="0.3">
      <c r="A12">
        <v>30.02</v>
      </c>
      <c r="B12">
        <v>1.9</v>
      </c>
      <c r="C12">
        <v>5.2999999999999999E-2</v>
      </c>
      <c r="D12">
        <f t="shared" si="1"/>
        <v>1.3022113022113022</v>
      </c>
    </row>
    <row r="13" spans="1:4" x14ac:dyDescent="0.3">
      <c r="A13">
        <v>30.01</v>
      </c>
      <c r="B13">
        <v>1.5</v>
      </c>
      <c r="C13">
        <v>0.04</v>
      </c>
      <c r="D13">
        <f t="shared" si="1"/>
        <v>0.98280098280098283</v>
      </c>
    </row>
    <row r="14" spans="1:4" x14ac:dyDescent="0.3">
      <c r="A14">
        <v>40.01</v>
      </c>
      <c r="B14">
        <v>4.0999999999999996</v>
      </c>
      <c r="C14">
        <v>0.126</v>
      </c>
      <c r="D14">
        <f>C14/41.5*1000</f>
        <v>3.036144578313253</v>
      </c>
    </row>
    <row r="15" spans="1:4" x14ac:dyDescent="0.3">
      <c r="A15">
        <v>40.06</v>
      </c>
      <c r="B15">
        <v>3.5</v>
      </c>
      <c r="C15">
        <v>0.104</v>
      </c>
      <c r="D15">
        <f t="shared" ref="D15:D19" si="2">C15/41.5*1000</f>
        <v>2.5060240963855422</v>
      </c>
    </row>
    <row r="16" spans="1:4" x14ac:dyDescent="0.3">
      <c r="A16">
        <v>40.049999999999997</v>
      </c>
      <c r="B16">
        <v>3.05</v>
      </c>
      <c r="C16">
        <v>8.5999999999999993E-2</v>
      </c>
      <c r="D16">
        <f t="shared" si="2"/>
        <v>2.0722891566265056</v>
      </c>
    </row>
    <row r="17" spans="1:4" x14ac:dyDescent="0.3">
      <c r="A17">
        <v>40.04</v>
      </c>
      <c r="B17">
        <v>2.5</v>
      </c>
      <c r="C17">
        <v>7.0000000000000007E-2</v>
      </c>
      <c r="D17">
        <f t="shared" si="2"/>
        <v>1.6867469879518073</v>
      </c>
    </row>
    <row r="18" spans="1:4" x14ac:dyDescent="0.3">
      <c r="A18">
        <v>40.020000000000003</v>
      </c>
      <c r="B18">
        <v>1.9</v>
      </c>
      <c r="C18">
        <v>5.2999999999999999E-2</v>
      </c>
      <c r="D18">
        <f t="shared" si="2"/>
        <v>1.2771084337349399</v>
      </c>
    </row>
    <row r="19" spans="1:4" x14ac:dyDescent="0.3">
      <c r="A19">
        <v>40</v>
      </c>
      <c r="B19">
        <v>1.6</v>
      </c>
      <c r="C19">
        <v>4.3999999999999997E-2</v>
      </c>
      <c r="D19">
        <f t="shared" si="2"/>
        <v>1.0602409638554215</v>
      </c>
    </row>
    <row r="20" spans="1:4" x14ac:dyDescent="0.3">
      <c r="A20">
        <v>50.01</v>
      </c>
      <c r="B20">
        <v>4.7</v>
      </c>
      <c r="C20">
        <v>0.13400000000000001</v>
      </c>
      <c r="D20">
        <f>C20/42.4*1000</f>
        <v>3.1603773584905666</v>
      </c>
    </row>
    <row r="21" spans="1:4" x14ac:dyDescent="0.3">
      <c r="A21">
        <v>50.02</v>
      </c>
      <c r="B21">
        <v>4.1500000000000004</v>
      </c>
      <c r="C21">
        <v>0.11600000000000001</v>
      </c>
      <c r="D21">
        <f t="shared" ref="D21:D25" si="3">C21/42.4*1000</f>
        <v>2.7358490566037741</v>
      </c>
    </row>
    <row r="22" spans="1:4" x14ac:dyDescent="0.3">
      <c r="A22">
        <v>50.03</v>
      </c>
      <c r="B22">
        <v>3.55</v>
      </c>
      <c r="C22">
        <v>9.6000000000000002E-2</v>
      </c>
      <c r="D22">
        <f t="shared" si="3"/>
        <v>2.2641509433962264</v>
      </c>
    </row>
    <row r="23" spans="1:4" x14ac:dyDescent="0.3">
      <c r="A23">
        <v>50.01</v>
      </c>
      <c r="B23">
        <v>3.15</v>
      </c>
      <c r="C23">
        <v>8.4000000000000005E-2</v>
      </c>
      <c r="D23">
        <f t="shared" si="3"/>
        <v>1.9811320754716983</v>
      </c>
    </row>
    <row r="24" spans="1:4" x14ac:dyDescent="0.3">
      <c r="A24">
        <v>50</v>
      </c>
      <c r="B24">
        <v>2.4500000000000002</v>
      </c>
      <c r="C24">
        <v>6.5000000000000002E-2</v>
      </c>
      <c r="D24">
        <f t="shared" si="3"/>
        <v>1.5330188679245285</v>
      </c>
    </row>
    <row r="25" spans="1:4" x14ac:dyDescent="0.3">
      <c r="A25">
        <v>50.01</v>
      </c>
      <c r="B25">
        <v>1.85</v>
      </c>
      <c r="C25">
        <v>4.8000000000000001E-2</v>
      </c>
      <c r="D25">
        <f t="shared" si="3"/>
        <v>1.1320754716981132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2025-05-05T06:03:00Z</dcterms:created>
  <dcterms:modified xsi:type="dcterms:W3CDTF">2025-05-06T00:06:57Z</dcterms:modified>
</cp:coreProperties>
</file>