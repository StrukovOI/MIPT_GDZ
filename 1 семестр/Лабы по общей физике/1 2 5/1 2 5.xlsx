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1 2 5\"/>
    </mc:Choice>
  </mc:AlternateContent>
  <xr:revisionPtr revIDLastSave="0" documentId="13_ncr:1_{1296E3CC-9338-4EC3-AFBD-DEE34D06EB14}" xr6:coauthVersionLast="47" xr6:coauthVersionMax="47" xr10:uidLastSave="{00000000-0000-0000-0000-000000000000}"/>
  <bookViews>
    <workbookView xWindow="11424" yWindow="0" windowWidth="11712" windowHeight="13776" activeTab="2" xr2:uid="{5A82CB4F-0D36-439F-AFC9-D6456B9E91EE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2" i="3"/>
  <c r="J3" i="3"/>
  <c r="J4" i="3"/>
  <c r="J5" i="3"/>
  <c r="J6" i="3"/>
  <c r="J7" i="3"/>
  <c r="J8" i="3"/>
  <c r="J9" i="3"/>
  <c r="J10" i="3"/>
  <c r="J11" i="3"/>
  <c r="J12" i="3"/>
  <c r="J2" i="3"/>
  <c r="H3" i="3"/>
  <c r="H4" i="3"/>
  <c r="H5" i="3"/>
  <c r="H6" i="3"/>
  <c r="H7" i="3"/>
  <c r="H8" i="3"/>
  <c r="H9" i="3"/>
  <c r="H10" i="3"/>
  <c r="H11" i="3"/>
  <c r="H12" i="3"/>
  <c r="H2" i="3"/>
  <c r="G3" i="3"/>
  <c r="G4" i="3"/>
  <c r="G5" i="3"/>
  <c r="G6" i="3"/>
  <c r="G7" i="3"/>
  <c r="G8" i="3"/>
  <c r="G9" i="3"/>
  <c r="G10" i="3"/>
  <c r="G11" i="3"/>
  <c r="G12" i="3"/>
  <c r="G2" i="3"/>
  <c r="C2" i="3"/>
  <c r="C3" i="3"/>
  <c r="C4" i="3"/>
  <c r="C5" i="3"/>
  <c r="C6" i="3"/>
  <c r="C7" i="3"/>
  <c r="C8" i="3"/>
  <c r="C9" i="3"/>
  <c r="C10" i="3"/>
  <c r="C11" i="3"/>
  <c r="C12" i="3"/>
  <c r="C2" i="1"/>
  <c r="C4" i="1"/>
  <c r="C5" i="1"/>
  <c r="C6" i="1"/>
  <c r="C7" i="1"/>
  <c r="C8" i="1"/>
  <c r="C9" i="1"/>
  <c r="C10" i="1"/>
  <c r="C11" i="1"/>
  <c r="C12" i="1"/>
  <c r="C13" i="1"/>
  <c r="C14" i="1"/>
  <c r="C15" i="1"/>
  <c r="C3" i="1"/>
  <c r="B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  <c r="N4" i="1"/>
  <c r="N5" i="1"/>
  <c r="N6" i="1"/>
  <c r="N13" i="1"/>
  <c r="M2" i="1"/>
  <c r="N2" i="1" s="1"/>
  <c r="M3" i="1"/>
  <c r="N3" i="1" s="1"/>
  <c r="M4" i="1"/>
  <c r="M5" i="1"/>
  <c r="M6" i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M14" i="1"/>
  <c r="N14" i="1" s="1"/>
  <c r="M15" i="1"/>
  <c r="N15" i="1" s="1"/>
  <c r="L3" i="1"/>
  <c r="O2" i="1" s="1"/>
  <c r="L5" i="1"/>
  <c r="O4" i="1" s="1"/>
  <c r="L7" i="1"/>
  <c r="O6" i="1" s="1"/>
  <c r="D2" i="2"/>
  <c r="C2" i="2"/>
  <c r="H3" i="1"/>
  <c r="I3" i="1" s="1"/>
  <c r="Q2" i="1" s="1"/>
  <c r="H4" i="1"/>
  <c r="I4" i="1" s="1"/>
  <c r="Q3" i="1" s="1"/>
  <c r="H5" i="1"/>
  <c r="I5" i="1" s="1"/>
  <c r="Q4" i="1" s="1"/>
  <c r="H6" i="1"/>
  <c r="I6" i="1" s="1"/>
  <c r="Q5" i="1" s="1"/>
  <c r="H7" i="1"/>
  <c r="I7" i="1" s="1"/>
  <c r="Q6" i="1" s="1"/>
  <c r="H8" i="1"/>
  <c r="I8" i="1" s="1"/>
  <c r="Q7" i="1" s="1"/>
  <c r="H9" i="1"/>
  <c r="I9" i="1" s="1"/>
  <c r="Q8" i="1" s="1"/>
  <c r="H10" i="1"/>
  <c r="I10" i="1" s="1"/>
  <c r="Q9" i="1" s="1"/>
  <c r="H11" i="1"/>
  <c r="I11" i="1" s="1"/>
  <c r="Q10" i="1" s="1"/>
  <c r="H12" i="1"/>
  <c r="I12" i="1" s="1"/>
  <c r="Q11" i="1" s="1"/>
  <c r="H13" i="1"/>
  <c r="I13" i="1" s="1"/>
  <c r="Q12" i="1" s="1"/>
  <c r="H14" i="1"/>
  <c r="I14" i="1" s="1"/>
  <c r="Q13" i="1" s="1"/>
  <c r="H15" i="1"/>
  <c r="I15" i="1" s="1"/>
  <c r="Q14" i="1" s="1"/>
  <c r="H2" i="1"/>
  <c r="I2" i="1" s="1"/>
  <c r="Q1" i="1" s="1"/>
  <c r="R3" i="1" l="1"/>
  <c r="B7" i="1"/>
  <c r="R7" i="1"/>
  <c r="B5" i="1"/>
  <c r="R5" i="1"/>
  <c r="B3" i="1"/>
  <c r="L15" i="1"/>
  <c r="L8" i="1"/>
  <c r="L6" i="1"/>
  <c r="L4" i="1"/>
  <c r="L13" i="1"/>
  <c r="L2" i="1"/>
  <c r="L14" i="1"/>
  <c r="L12" i="1"/>
  <c r="L11" i="1"/>
  <c r="L10" i="1"/>
  <c r="L9" i="1"/>
  <c r="O13" i="1" l="1"/>
  <c r="R14" i="1"/>
  <c r="B14" i="1"/>
  <c r="O7" i="1"/>
  <c r="R8" i="1"/>
  <c r="B8" i="1"/>
  <c r="O3" i="1"/>
  <c r="B4" i="1"/>
  <c r="R4" i="1"/>
  <c r="O9" i="1"/>
  <c r="R10" i="1"/>
  <c r="B10" i="1"/>
  <c r="O10" i="1"/>
  <c r="R11" i="1"/>
  <c r="B11" i="1"/>
  <c r="O11" i="1"/>
  <c r="R12" i="1"/>
  <c r="B12" i="1"/>
  <c r="O1" i="1"/>
  <c r="R2" i="1"/>
  <c r="O12" i="1"/>
  <c r="R13" i="1"/>
  <c r="B13" i="1"/>
  <c r="O5" i="1"/>
  <c r="R6" i="1"/>
  <c r="B6" i="1"/>
  <c r="O14" i="1"/>
  <c r="R15" i="1"/>
  <c r="B15" i="1"/>
  <c r="O8" i="1"/>
  <c r="R9" i="1"/>
  <c r="B9" i="1"/>
</calcChain>
</file>

<file path=xl/sharedStrings.xml><?xml version="1.0" encoding="utf-8"?>
<sst xmlns="http://schemas.openxmlformats.org/spreadsheetml/2006/main" count="21" uniqueCount="21">
  <si>
    <t>l</t>
  </si>
  <si>
    <t>119 мм</t>
  </si>
  <si>
    <t>масса груза</t>
  </si>
  <si>
    <t>полное время</t>
  </si>
  <si>
    <t>число оборотов</t>
  </si>
  <si>
    <t>высота 1</t>
  </si>
  <si>
    <t>период</t>
  </si>
  <si>
    <t>высота 2</t>
  </si>
  <si>
    <t>1/период</t>
  </si>
  <si>
    <t>высота</t>
  </si>
  <si>
    <t>период цилиндра</t>
  </si>
  <si>
    <t>период гироскопа</t>
  </si>
  <si>
    <t>момент цилиндра</t>
  </si>
  <si>
    <t>момент гироскопа</t>
  </si>
  <si>
    <t>Найти замедляющую силу трения</t>
  </si>
  <si>
    <t>ln(частоты) от времени</t>
  </si>
  <si>
    <t>Омега</t>
  </si>
  <si>
    <t>Омега ф</t>
  </si>
  <si>
    <t>момент силы</t>
  </si>
  <si>
    <t>омега 0</t>
  </si>
  <si>
    <t>момент трения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</si>
</sst>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1/период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Лист1!$P$1:$P$14</c:f>
              <c:numCache>
                <c:formatCode>General</c:formatCode>
                <c:ptCount val="14"/>
                <c:pt idx="0">
                  <c:v>335</c:v>
                </c:pt>
                <c:pt idx="1">
                  <c:v>335</c:v>
                </c:pt>
                <c:pt idx="2">
                  <c:v>270</c:v>
                </c:pt>
                <c:pt idx="3">
                  <c:v>270</c:v>
                </c:pt>
                <c:pt idx="4">
                  <c:v>215</c:v>
                </c:pt>
                <c:pt idx="5">
                  <c:v>215</c:v>
                </c:pt>
                <c:pt idx="6">
                  <c:v>173</c:v>
                </c:pt>
                <c:pt idx="7">
                  <c:v>173</c:v>
                </c:pt>
                <c:pt idx="8">
                  <c:v>142</c:v>
                </c:pt>
                <c:pt idx="9">
                  <c:v>142</c:v>
                </c:pt>
                <c:pt idx="10">
                  <c:v>116</c:v>
                </c:pt>
                <c:pt idx="11">
                  <c:v>116</c:v>
                </c:pt>
                <c:pt idx="12">
                  <c:v>77</c:v>
                </c:pt>
                <c:pt idx="13">
                  <c:v>77</c:v>
                </c:pt>
              </c:numCache>
            </c:numRef>
          </c:xVal>
          <c:yVal>
            <c:numRef>
              <c:f>Лист1!$Q$1:$Q$14</c:f>
              <c:numCache>
                <c:formatCode>General</c:formatCode>
                <c:ptCount val="14"/>
                <c:pt idx="0">
                  <c:v>3.3457249070631967E-2</c:v>
                </c:pt>
                <c:pt idx="1">
                  <c:v>3.3333333333333333E-2</c:v>
                </c:pt>
                <c:pt idx="2">
                  <c:v>2.6936026936026935E-2</c:v>
                </c:pt>
                <c:pt idx="3">
                  <c:v>2.6845637583892617E-2</c:v>
                </c:pt>
                <c:pt idx="4">
                  <c:v>2.1341463414634148E-2</c:v>
                </c:pt>
                <c:pt idx="5">
                  <c:v>2.1276595744680851E-2</c:v>
                </c:pt>
                <c:pt idx="6">
                  <c:v>1.7123287671232876E-2</c:v>
                </c:pt>
                <c:pt idx="7">
                  <c:v>1.7094017094017096E-2</c:v>
                </c:pt>
                <c:pt idx="8">
                  <c:v>1.4084507042253521E-2</c:v>
                </c:pt>
                <c:pt idx="9">
                  <c:v>1.4044943820224719E-2</c:v>
                </c:pt>
                <c:pt idx="10">
                  <c:v>1.1527377521613832E-2</c:v>
                </c:pt>
                <c:pt idx="11">
                  <c:v>1.1527377521613832E-2</c:v>
                </c:pt>
                <c:pt idx="12">
                  <c:v>7.556675062972292E-3</c:v>
                </c:pt>
                <c:pt idx="13">
                  <c:v>7.5949367088607601E-3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6A-40E7-8F52-4FE068FF2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2539903"/>
        <c:axId val="1802540383"/>
      </c:scatterChart>
      <c:valAx>
        <c:axId val="1802539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2540383"/>
        <c:crosses val="autoZero"/>
        <c:crossBetween val="midCat"/>
      </c:valAx>
      <c:valAx>
        <c:axId val="180254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2539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Омега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Лист1!$O$1:$O$14</c:f>
              <c:numCache>
                <c:formatCode>General</c:formatCode>
                <c:ptCount val="14"/>
                <c:pt idx="0">
                  <c:v>0.21021809577924266</c:v>
                </c:pt>
                <c:pt idx="1">
                  <c:v>0.20943951023931953</c:v>
                </c:pt>
                <c:pt idx="2">
                  <c:v>0.169244048678238</c:v>
                </c:pt>
                <c:pt idx="3">
                  <c:v>0.16867611562898219</c:v>
                </c:pt>
                <c:pt idx="4">
                  <c:v>0.13409236936053995</c:v>
                </c:pt>
                <c:pt idx="5">
                  <c:v>0.13368479376977843</c:v>
                </c:pt>
                <c:pt idx="6">
                  <c:v>0.10758878950649976</c:v>
                </c:pt>
                <c:pt idx="7">
                  <c:v>0.1074048770458049</c:v>
                </c:pt>
                <c:pt idx="8">
                  <c:v>8.8495567706754735E-2</c:v>
                </c:pt>
                <c:pt idx="9">
                  <c:v>8.8246984651398686E-2</c:v>
                </c:pt>
                <c:pt idx="10">
                  <c:v>7.2428649074116266E-2</c:v>
                </c:pt>
                <c:pt idx="11">
                  <c:v>7.2428649074116266E-2</c:v>
                </c:pt>
                <c:pt idx="12">
                  <c:v>4.7479989726797879E-2</c:v>
                </c:pt>
                <c:pt idx="13">
                  <c:v>4.7720394738072811E-2</c:v>
                </c:pt>
              </c:numCache>
            </c:numRef>
          </c:xVal>
          <c:yVal>
            <c:numRef>
              <c:f>Лист1!$P$1:$P$14</c:f>
              <c:numCache>
                <c:formatCode>General</c:formatCode>
                <c:ptCount val="14"/>
                <c:pt idx="0">
                  <c:v>335</c:v>
                </c:pt>
                <c:pt idx="1">
                  <c:v>335</c:v>
                </c:pt>
                <c:pt idx="2">
                  <c:v>270</c:v>
                </c:pt>
                <c:pt idx="3">
                  <c:v>270</c:v>
                </c:pt>
                <c:pt idx="4">
                  <c:v>215</c:v>
                </c:pt>
                <c:pt idx="5">
                  <c:v>215</c:v>
                </c:pt>
                <c:pt idx="6">
                  <c:v>173</c:v>
                </c:pt>
                <c:pt idx="7">
                  <c:v>173</c:v>
                </c:pt>
                <c:pt idx="8">
                  <c:v>142</c:v>
                </c:pt>
                <c:pt idx="9">
                  <c:v>142</c:v>
                </c:pt>
                <c:pt idx="10">
                  <c:v>116</c:v>
                </c:pt>
                <c:pt idx="11">
                  <c:v>116</c:v>
                </c:pt>
                <c:pt idx="12">
                  <c:v>77</c:v>
                </c:pt>
                <c:pt idx="13">
                  <c:v>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00-4BDD-9A0C-CD3424313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5093696"/>
        <c:axId val="675092736"/>
      </c:scatterChart>
      <c:valAx>
        <c:axId val="67509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5092736"/>
        <c:crosses val="autoZero"/>
        <c:crossBetween val="midCat"/>
      </c:valAx>
      <c:valAx>
        <c:axId val="67509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5093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Лист3!$A$1:$A$11</c:f>
              <c:numCache>
                <c:formatCode>General</c:formatCode>
                <c:ptCount val="11"/>
                <c:pt idx="0">
                  <c:v>400</c:v>
                </c:pt>
                <c:pt idx="1">
                  <c:v>380</c:v>
                </c:pt>
                <c:pt idx="2">
                  <c:v>360</c:v>
                </c:pt>
                <c:pt idx="3">
                  <c:v>340</c:v>
                </c:pt>
                <c:pt idx="4">
                  <c:v>320</c:v>
                </c:pt>
                <c:pt idx="5">
                  <c:v>300</c:v>
                </c:pt>
                <c:pt idx="6">
                  <c:v>280</c:v>
                </c:pt>
                <c:pt idx="7">
                  <c:v>260</c:v>
                </c:pt>
                <c:pt idx="8">
                  <c:v>240</c:v>
                </c:pt>
                <c:pt idx="9">
                  <c:v>220</c:v>
                </c:pt>
                <c:pt idx="10">
                  <c:v>200</c:v>
                </c:pt>
              </c:numCache>
            </c:numRef>
          </c:xVal>
          <c:yVal>
            <c:numRef>
              <c:f>Лист3!$B$1:$B$11</c:f>
              <c:numCache>
                <c:formatCode>General</c:formatCode>
                <c:ptCount val="11"/>
                <c:pt idx="0">
                  <c:v>0</c:v>
                </c:pt>
                <c:pt idx="1">
                  <c:v>4.5599999999999996</c:v>
                </c:pt>
                <c:pt idx="2">
                  <c:v>55.3</c:v>
                </c:pt>
                <c:pt idx="3">
                  <c:v>110</c:v>
                </c:pt>
                <c:pt idx="4">
                  <c:v>166</c:v>
                </c:pt>
                <c:pt idx="5">
                  <c:v>227</c:v>
                </c:pt>
                <c:pt idx="6">
                  <c:v>290</c:v>
                </c:pt>
                <c:pt idx="7">
                  <c:v>356</c:v>
                </c:pt>
                <c:pt idx="8">
                  <c:v>432</c:v>
                </c:pt>
                <c:pt idx="9">
                  <c:v>513</c:v>
                </c:pt>
                <c:pt idx="10">
                  <c:v>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C4-48C7-ABA5-BD37CB530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40799"/>
        <c:axId val="1810834495"/>
      </c:scatterChart>
      <c:valAx>
        <c:axId val="86840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0834495"/>
        <c:crosses val="autoZero"/>
        <c:crossBetween val="midCat"/>
      </c:valAx>
      <c:valAx>
        <c:axId val="181083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840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Лист3!$A$2:$A$12</c:f>
              <c:numCache>
                <c:formatCode>General</c:formatCode>
                <c:ptCount val="11"/>
                <c:pt idx="0">
                  <c:v>380</c:v>
                </c:pt>
                <c:pt idx="1">
                  <c:v>360</c:v>
                </c:pt>
                <c:pt idx="2">
                  <c:v>340</c:v>
                </c:pt>
                <c:pt idx="3">
                  <c:v>320</c:v>
                </c:pt>
                <c:pt idx="4">
                  <c:v>300</c:v>
                </c:pt>
                <c:pt idx="5">
                  <c:v>280</c:v>
                </c:pt>
                <c:pt idx="6">
                  <c:v>260</c:v>
                </c:pt>
                <c:pt idx="7">
                  <c:v>240</c:v>
                </c:pt>
                <c:pt idx="8">
                  <c:v>220</c:v>
                </c:pt>
                <c:pt idx="9">
                  <c:v>200</c:v>
                </c:pt>
                <c:pt idx="10">
                  <c:v>180</c:v>
                </c:pt>
              </c:numCache>
            </c:numRef>
          </c:xVal>
          <c:yVal>
            <c:numRef>
              <c:f>Лист3!$B$2:$B$12</c:f>
              <c:numCache>
                <c:formatCode>General</c:formatCode>
                <c:ptCount val="11"/>
                <c:pt idx="0">
                  <c:v>4.5599999999999996</c:v>
                </c:pt>
                <c:pt idx="1">
                  <c:v>55.3</c:v>
                </c:pt>
                <c:pt idx="2">
                  <c:v>110</c:v>
                </c:pt>
                <c:pt idx="3">
                  <c:v>166</c:v>
                </c:pt>
                <c:pt idx="4">
                  <c:v>227</c:v>
                </c:pt>
                <c:pt idx="5">
                  <c:v>290</c:v>
                </c:pt>
                <c:pt idx="6">
                  <c:v>356</c:v>
                </c:pt>
                <c:pt idx="7">
                  <c:v>432</c:v>
                </c:pt>
                <c:pt idx="8">
                  <c:v>513</c:v>
                </c:pt>
                <c:pt idx="9">
                  <c:v>600</c:v>
                </c:pt>
                <c:pt idx="10">
                  <c:v>694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D0-4BC5-8180-53AE16294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42335"/>
        <c:axId val="86542815"/>
      </c:scatterChart>
      <c:valAx>
        <c:axId val="86542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542815"/>
        <c:crosses val="autoZero"/>
        <c:crossBetween val="midCat"/>
      </c:valAx>
      <c:valAx>
        <c:axId val="8654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542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Лист3!$C$2:$C$12</c:f>
              <c:numCache>
                <c:formatCode>General</c:formatCode>
                <c:ptCount val="11"/>
                <c:pt idx="0">
                  <c:v>5.9401712527204316</c:v>
                </c:pt>
                <c:pt idx="1">
                  <c:v>5.8861040314501558</c:v>
                </c:pt>
                <c:pt idx="2">
                  <c:v>5.8289456176102075</c:v>
                </c:pt>
                <c:pt idx="3">
                  <c:v>5.768320995793772</c:v>
                </c:pt>
                <c:pt idx="4">
                  <c:v>5.7037824746562009</c:v>
                </c:pt>
                <c:pt idx="5">
                  <c:v>5.6347896031692493</c:v>
                </c:pt>
                <c:pt idx="6">
                  <c:v>5.5606816310155276</c:v>
                </c:pt>
                <c:pt idx="7">
                  <c:v>5.4806389233419912</c:v>
                </c:pt>
                <c:pt idx="8">
                  <c:v>5.393627546352362</c:v>
                </c:pt>
                <c:pt idx="9">
                  <c:v>5.2983173665480363</c:v>
                </c:pt>
                <c:pt idx="10">
                  <c:v>5.1929568508902104</c:v>
                </c:pt>
              </c:numCache>
            </c:numRef>
          </c:xVal>
          <c:yVal>
            <c:numRef>
              <c:f>Лист3!$A$2:$A$12</c:f>
              <c:numCache>
                <c:formatCode>General</c:formatCode>
                <c:ptCount val="11"/>
                <c:pt idx="0">
                  <c:v>380</c:v>
                </c:pt>
                <c:pt idx="1">
                  <c:v>360</c:v>
                </c:pt>
                <c:pt idx="2">
                  <c:v>340</c:v>
                </c:pt>
                <c:pt idx="3">
                  <c:v>320</c:v>
                </c:pt>
                <c:pt idx="4">
                  <c:v>300</c:v>
                </c:pt>
                <c:pt idx="5">
                  <c:v>280</c:v>
                </c:pt>
                <c:pt idx="6">
                  <c:v>260</c:v>
                </c:pt>
                <c:pt idx="7">
                  <c:v>240</c:v>
                </c:pt>
                <c:pt idx="8">
                  <c:v>220</c:v>
                </c:pt>
                <c:pt idx="9">
                  <c:v>200</c:v>
                </c:pt>
                <c:pt idx="10">
                  <c:v>180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5F-4535-B0E2-41AB4C854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8476063"/>
        <c:axId val="1168463583"/>
      </c:scatterChart>
      <c:valAx>
        <c:axId val="11684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8463583"/>
        <c:crosses val="autoZero"/>
        <c:crossBetween val="midCat"/>
      </c:valAx>
      <c:valAx>
        <c:axId val="116846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8476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Лист3!$G$2:$G$12</c:f>
              <c:numCache>
                <c:formatCode>General</c:formatCode>
                <c:ptCount val="11"/>
                <c:pt idx="0">
                  <c:v>5883.8709677419347</c:v>
                </c:pt>
                <c:pt idx="1">
                  <c:v>71354.838709677409</c:v>
                </c:pt>
                <c:pt idx="2">
                  <c:v>141935.48387096776</c:v>
                </c:pt>
                <c:pt idx="3">
                  <c:v>214193.54838709676</c:v>
                </c:pt>
                <c:pt idx="4">
                  <c:v>292903.22580645158</c:v>
                </c:pt>
                <c:pt idx="5">
                  <c:v>374193.54838709679</c:v>
                </c:pt>
                <c:pt idx="6">
                  <c:v>459354.83870967739</c:v>
                </c:pt>
                <c:pt idx="7">
                  <c:v>557419.35483870958</c:v>
                </c:pt>
                <c:pt idx="8">
                  <c:v>661935.48387096764</c:v>
                </c:pt>
                <c:pt idx="9">
                  <c:v>774193.54838709673</c:v>
                </c:pt>
                <c:pt idx="10">
                  <c:v>895483.87096774194</c:v>
                </c:pt>
              </c:numCache>
            </c:numRef>
          </c:xVal>
          <c:yVal>
            <c:numRef>
              <c:f>Лист3!$H$2:$H$12</c:f>
              <c:numCache>
                <c:formatCode>General</c:formatCode>
                <c:ptCount val="11"/>
                <c:pt idx="0">
                  <c:v>4.3327055240478885E-3</c:v>
                </c:pt>
                <c:pt idx="1">
                  <c:v>5.8399926794323591E-2</c:v>
                </c:pt>
                <c:pt idx="2">
                  <c:v>0.11555834063427226</c:v>
                </c:pt>
                <c:pt idx="3">
                  <c:v>0.17618296245070714</c:v>
                </c:pt>
                <c:pt idx="4">
                  <c:v>0.24072148358827825</c:v>
                </c:pt>
                <c:pt idx="5">
                  <c:v>0.30971435507522976</c:v>
                </c:pt>
                <c:pt idx="6">
                  <c:v>0.38382232722895154</c:v>
                </c:pt>
                <c:pt idx="7">
                  <c:v>0.46386503490248804</c:v>
                </c:pt>
                <c:pt idx="8">
                  <c:v>0.55087641189211789</c:v>
                </c:pt>
                <c:pt idx="9">
                  <c:v>0.64618659169644266</c:v>
                </c:pt>
                <c:pt idx="10">
                  <c:v>0.75154710735426888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62-4B95-956E-30815D608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7889232"/>
        <c:axId val="2007894512"/>
      </c:scatterChart>
      <c:valAx>
        <c:axId val="200788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7894512"/>
        <c:crosses val="autoZero"/>
        <c:crossBetween val="midCat"/>
      </c:valAx>
      <c:valAx>
        <c:axId val="200789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7889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320040</xdr:colOff>
      <xdr:row>5</xdr:row>
      <xdr:rowOff>160020</xdr:rowOff>
    </xdr:from>
    <xdr:to>
      <xdr:col>34</xdr:col>
      <xdr:colOff>129540</xdr:colOff>
      <xdr:row>34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28DAB8B-A10B-219D-9254-D4A837E411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510540</xdr:colOff>
      <xdr:row>12</xdr:row>
      <xdr:rowOff>152400</xdr:rowOff>
    </xdr:from>
    <xdr:to>
      <xdr:col>33</xdr:col>
      <xdr:colOff>274320</xdr:colOff>
      <xdr:row>33</xdr:row>
      <xdr:rowOff>80010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CF45604-456E-49A9-9922-0A307B8301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533400</xdr:colOff>
      <xdr:row>8</xdr:row>
      <xdr:rowOff>110490</xdr:rowOff>
    </xdr:from>
    <xdr:to>
      <xdr:col>35</xdr:col>
      <xdr:colOff>228600</xdr:colOff>
      <xdr:row>23</xdr:row>
      <xdr:rowOff>110490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E62AF4D-FED6-5925-EC59-9B8A6FC4F4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274320</xdr:colOff>
      <xdr:row>0</xdr:row>
      <xdr:rowOff>152400</xdr:rowOff>
    </xdr:from>
    <xdr:to>
      <xdr:col>22</xdr:col>
      <xdr:colOff>579120</xdr:colOff>
      <xdr:row>15</xdr:row>
      <xdr:rowOff>152400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6EAD9C39-8DD9-8377-8743-14F3F02257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175260</xdr:colOff>
      <xdr:row>10</xdr:row>
      <xdr:rowOff>144780</xdr:rowOff>
    </xdr:from>
    <xdr:to>
      <xdr:col>32</xdr:col>
      <xdr:colOff>152400</xdr:colOff>
      <xdr:row>34</xdr:row>
      <xdr:rowOff>95250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9710624-8D0A-AF6C-74A0-1D5D4E46F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30480</xdr:colOff>
      <xdr:row>7</xdr:row>
      <xdr:rowOff>7620</xdr:rowOff>
    </xdr:from>
    <xdr:to>
      <xdr:col>22</xdr:col>
      <xdr:colOff>281940</xdr:colOff>
      <xdr:row>28</xdr:row>
      <xdr:rowOff>19050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19FBE19-A8B1-BCA7-48F7-9239E0784A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C3792-010F-4AA4-A82E-250FC2799121}">
  <dimension ref="A1:R15"/>
  <sheetViews>
    <sheetView workbookViewId="0">
      <selection activeCell="M2" sqref="M2:M15"/>
    </sheetView>
  </sheetViews>
  <sheetFormatPr defaultRowHeight="14.4" x14ac:dyDescent="0.3"/>
  <cols>
    <col min="3" max="3" width="12" bestFit="1" customWidth="1"/>
    <col min="4" max="5" width="12.5546875" customWidth="1"/>
    <col min="6" max="6" width="13.6640625" customWidth="1"/>
    <col min="7" max="7" width="13.77734375" customWidth="1"/>
    <col min="13" max="14" width="12.21875" customWidth="1"/>
    <col min="18" max="18" width="12.77734375" customWidth="1"/>
  </cols>
  <sheetData>
    <row r="1" spans="1:18" x14ac:dyDescent="0.3">
      <c r="A1" t="s">
        <v>0</v>
      </c>
      <c r="B1" t="s">
        <v>19</v>
      </c>
      <c r="C1" t="s">
        <v>20</v>
      </c>
      <c r="D1" t="s">
        <v>2</v>
      </c>
      <c r="E1" t="s">
        <v>18</v>
      </c>
      <c r="F1" t="s">
        <v>3</v>
      </c>
      <c r="G1" t="s">
        <v>4</v>
      </c>
      <c r="H1" t="s">
        <v>6</v>
      </c>
      <c r="I1" t="s">
        <v>8</v>
      </c>
      <c r="J1" t="s">
        <v>5</v>
      </c>
      <c r="K1" t="s">
        <v>7</v>
      </c>
      <c r="L1" t="s">
        <v>16</v>
      </c>
      <c r="M1" t="s">
        <v>17</v>
      </c>
      <c r="O1">
        <f>L2</f>
        <v>0.21021809577924266</v>
      </c>
      <c r="P1">
        <v>335</v>
      </c>
      <c r="Q1">
        <f>I2</f>
        <v>3.3457249070631967E-2</v>
      </c>
    </row>
    <row r="2" spans="1:18" x14ac:dyDescent="0.3">
      <c r="A2" t="s">
        <v>1</v>
      </c>
      <c r="B2">
        <f>D2/1000*9.81*0.119/L2/0.775/1000</f>
        <v>2.4004296112804502E-3</v>
      </c>
      <c r="C2">
        <f>2398*M2*0.775/1000</f>
        <v>1.4542148441543162E-3</v>
      </c>
      <c r="D2">
        <v>335</v>
      </c>
      <c r="E2">
        <f>D2/1000*9.81*0.119</f>
        <v>0.39107565000000005</v>
      </c>
      <c r="F2">
        <v>269</v>
      </c>
      <c r="G2">
        <v>9</v>
      </c>
      <c r="H2">
        <f>F2/G2</f>
        <v>29.888888888888889</v>
      </c>
      <c r="I2">
        <f>1/H2</f>
        <v>3.3457249070631967E-2</v>
      </c>
      <c r="J2">
        <v>12.5</v>
      </c>
      <c r="K2">
        <v>10</v>
      </c>
      <c r="L2">
        <f>2*PI()/H2</f>
        <v>0.21021809577924266</v>
      </c>
      <c r="M2">
        <f t="shared" ref="M2:M14" si="0">(ASIN((J2-$A$5)/11.9)+ASIN(($A$5-K2)/11.9))/F2</f>
        <v>7.8248801105992426E-4</v>
      </c>
      <c r="N2">
        <f>M2*10000</f>
        <v>7.8248801105992429</v>
      </c>
      <c r="O2">
        <f t="shared" ref="O2:O14" si="1">L3</f>
        <v>0.20943951023931953</v>
      </c>
      <c r="P2">
        <v>335</v>
      </c>
      <c r="Q2">
        <f t="shared" ref="Q2:Q13" si="2">I3</f>
        <v>3.3333333333333333E-2</v>
      </c>
      <c r="R2">
        <f>L2*0.5/H2</f>
        <v>3.5166595948200445E-3</v>
      </c>
    </row>
    <row r="3" spans="1:18" x14ac:dyDescent="0.3">
      <c r="B3">
        <f t="shared" ref="B3:B15" si="3">D3/1000*9.81*0.119/L3/0.775/1000</f>
        <v>2.4093531414339092E-3</v>
      </c>
      <c r="C3">
        <f>2398*M3*0.775/1000</f>
        <v>1.448828863250041E-3</v>
      </c>
      <c r="D3">
        <v>335</v>
      </c>
      <c r="E3">
        <f t="shared" ref="E3:E15" si="4">D3/1000*9.81*0.119</f>
        <v>0.39107565000000005</v>
      </c>
      <c r="F3">
        <v>270</v>
      </c>
      <c r="G3">
        <v>9</v>
      </c>
      <c r="H3">
        <f t="shared" ref="H3:H15" si="5">F3/G3</f>
        <v>30</v>
      </c>
      <c r="I3">
        <f t="shared" ref="I3:I15" si="6">1/H3</f>
        <v>3.3333333333333333E-2</v>
      </c>
      <c r="J3">
        <v>12.5</v>
      </c>
      <c r="K3">
        <v>10</v>
      </c>
      <c r="L3">
        <f t="shared" ref="L3:L15" si="7">2*PI()/H3</f>
        <v>0.20943951023931953</v>
      </c>
      <c r="M3">
        <f t="shared" si="0"/>
        <v>7.7958990731525788E-4</v>
      </c>
      <c r="N3">
        <f t="shared" ref="N3:N15" si="8">M3*10000</f>
        <v>7.7958990731525786</v>
      </c>
      <c r="O3">
        <f t="shared" si="1"/>
        <v>0.169244048678238</v>
      </c>
      <c r="P3">
        <v>270</v>
      </c>
      <c r="Q3">
        <f t="shared" si="2"/>
        <v>2.6936026936026935E-2</v>
      </c>
      <c r="R3">
        <f t="shared" ref="R3:R15" si="9">L3*0.5/H3</f>
        <v>3.4906585039886587E-3</v>
      </c>
    </row>
    <row r="4" spans="1:18" x14ac:dyDescent="0.3">
      <c r="A4" t="s">
        <v>9</v>
      </c>
      <c r="B4">
        <f t="shared" si="3"/>
        <v>2.4030600548704622E-3</v>
      </c>
      <c r="C4">
        <f t="shared" ref="C4:C15" si="10">2398*M4*0.775/1000</f>
        <v>1.4228237751735871E-3</v>
      </c>
      <c r="D4">
        <v>270</v>
      </c>
      <c r="E4">
        <f t="shared" si="4"/>
        <v>0.31519530000000001</v>
      </c>
      <c r="F4">
        <v>297</v>
      </c>
      <c r="G4">
        <v>8</v>
      </c>
      <c r="H4">
        <f t="shared" si="5"/>
        <v>37.125</v>
      </c>
      <c r="I4">
        <f t="shared" si="6"/>
        <v>2.6936026936026935E-2</v>
      </c>
      <c r="J4">
        <v>12.5</v>
      </c>
      <c r="K4">
        <v>9.8000000000000007</v>
      </c>
      <c r="L4">
        <f t="shared" si="7"/>
        <v>0.169244048678238</v>
      </c>
      <c r="M4">
        <f t="shared" si="0"/>
        <v>7.6559701642421759E-4</v>
      </c>
      <c r="N4">
        <f t="shared" si="8"/>
        <v>7.6559701642421762</v>
      </c>
      <c r="O4">
        <f t="shared" si="1"/>
        <v>0.16867611562898219</v>
      </c>
      <c r="P4">
        <v>270</v>
      </c>
      <c r="Q4">
        <f t="shared" si="2"/>
        <v>2.6845637583892617E-2</v>
      </c>
      <c r="R4">
        <f t="shared" si="9"/>
        <v>2.2793811269796365E-3</v>
      </c>
    </row>
    <row r="5" spans="1:18" x14ac:dyDescent="0.3">
      <c r="A5">
        <v>11.1</v>
      </c>
      <c r="B5">
        <f t="shared" si="3"/>
        <v>2.4111511661663223E-3</v>
      </c>
      <c r="C5">
        <f t="shared" si="10"/>
        <v>1.4180491987468302E-3</v>
      </c>
      <c r="D5">
        <v>270</v>
      </c>
      <c r="E5">
        <f t="shared" si="4"/>
        <v>0.31519530000000001</v>
      </c>
      <c r="F5">
        <v>298</v>
      </c>
      <c r="G5">
        <v>8</v>
      </c>
      <c r="H5">
        <f t="shared" si="5"/>
        <v>37.25</v>
      </c>
      <c r="I5">
        <f t="shared" si="6"/>
        <v>2.6845637583892617E-2</v>
      </c>
      <c r="J5">
        <v>12.5</v>
      </c>
      <c r="K5">
        <v>9.8000000000000007</v>
      </c>
      <c r="L5">
        <f t="shared" si="7"/>
        <v>0.16867611562898219</v>
      </c>
      <c r="M5">
        <f t="shared" si="0"/>
        <v>7.6302789891943834E-4</v>
      </c>
      <c r="N5">
        <f t="shared" si="8"/>
        <v>7.6302789891943839</v>
      </c>
      <c r="O5">
        <f t="shared" si="1"/>
        <v>0.13409236936053995</v>
      </c>
      <c r="P5">
        <v>215</v>
      </c>
      <c r="Q5">
        <f t="shared" si="2"/>
        <v>2.1341463414634148E-2</v>
      </c>
      <c r="R5">
        <f t="shared" si="9"/>
        <v>2.2641089346172104E-3</v>
      </c>
    </row>
    <row r="6" spans="1:18" x14ac:dyDescent="0.3">
      <c r="B6">
        <f t="shared" si="3"/>
        <v>2.4151753167579136E-3</v>
      </c>
      <c r="C6">
        <f t="shared" si="10"/>
        <v>1.4803444998887215E-3</v>
      </c>
      <c r="D6">
        <v>215</v>
      </c>
      <c r="E6">
        <f t="shared" si="4"/>
        <v>0.25098884999999999</v>
      </c>
      <c r="F6">
        <v>328</v>
      </c>
      <c r="G6">
        <v>7</v>
      </c>
      <c r="H6">
        <f t="shared" si="5"/>
        <v>46.857142857142854</v>
      </c>
      <c r="I6">
        <f t="shared" si="6"/>
        <v>2.1341463414634148E-2</v>
      </c>
      <c r="J6">
        <v>12.5</v>
      </c>
      <c r="K6">
        <v>9.4</v>
      </c>
      <c r="L6">
        <f t="shared" si="7"/>
        <v>0.13409236936053995</v>
      </c>
      <c r="M6">
        <f t="shared" si="0"/>
        <v>7.9654792966650783E-4</v>
      </c>
      <c r="N6">
        <f t="shared" si="8"/>
        <v>7.9654792966650785</v>
      </c>
      <c r="O6">
        <f t="shared" si="1"/>
        <v>0.13368479376977843</v>
      </c>
      <c r="P6">
        <v>215</v>
      </c>
      <c r="Q6">
        <f t="shared" si="2"/>
        <v>2.1276595744680851E-2</v>
      </c>
      <c r="R6">
        <f t="shared" si="9"/>
        <v>1.4308636974447861E-3</v>
      </c>
    </row>
    <row r="7" spans="1:18" x14ac:dyDescent="0.3">
      <c r="B7">
        <f t="shared" si="3"/>
        <v>2.4225386561382732E-3</v>
      </c>
      <c r="C7">
        <f t="shared" si="10"/>
        <v>1.4758449725334364E-3</v>
      </c>
      <c r="D7">
        <v>215</v>
      </c>
      <c r="E7">
        <f t="shared" si="4"/>
        <v>0.25098884999999999</v>
      </c>
      <c r="F7">
        <v>329</v>
      </c>
      <c r="G7">
        <v>7</v>
      </c>
      <c r="H7">
        <f t="shared" si="5"/>
        <v>47</v>
      </c>
      <c r="I7">
        <f t="shared" si="6"/>
        <v>2.1276595744680851E-2</v>
      </c>
      <c r="J7">
        <v>12.5</v>
      </c>
      <c r="K7">
        <v>9.4</v>
      </c>
      <c r="L7">
        <f t="shared" si="7"/>
        <v>0.13368479376977843</v>
      </c>
      <c r="M7">
        <f t="shared" si="0"/>
        <v>7.9412681133925395E-4</v>
      </c>
      <c r="N7">
        <f t="shared" si="8"/>
        <v>7.9412681133925398</v>
      </c>
      <c r="O7">
        <f t="shared" si="1"/>
        <v>0.10758878950649976</v>
      </c>
      <c r="P7">
        <v>173</v>
      </c>
      <c r="Q7">
        <f t="shared" si="2"/>
        <v>1.7123287671232876E-2</v>
      </c>
      <c r="R7">
        <f t="shared" si="9"/>
        <v>1.4221786571253024E-3</v>
      </c>
    </row>
    <row r="8" spans="1:18" x14ac:dyDescent="0.3">
      <c r="B8">
        <f t="shared" si="3"/>
        <v>2.4221071302024948E-3</v>
      </c>
      <c r="C8">
        <f t="shared" si="10"/>
        <v>1.4471871959813539E-3</v>
      </c>
      <c r="D8">
        <v>173</v>
      </c>
      <c r="E8">
        <f t="shared" si="4"/>
        <v>0.20195847</v>
      </c>
      <c r="F8">
        <v>292</v>
      </c>
      <c r="G8">
        <v>5</v>
      </c>
      <c r="H8">
        <f t="shared" si="5"/>
        <v>58.4</v>
      </c>
      <c r="I8">
        <f t="shared" si="6"/>
        <v>1.7123287671232876E-2</v>
      </c>
      <c r="J8">
        <v>12.5</v>
      </c>
      <c r="K8">
        <v>9.8000000000000007</v>
      </c>
      <c r="L8">
        <f t="shared" si="7"/>
        <v>0.10758878950649976</v>
      </c>
      <c r="M8">
        <f t="shared" si="0"/>
        <v>7.7870655437668702E-4</v>
      </c>
      <c r="N8">
        <f t="shared" si="8"/>
        <v>7.7870655437668699</v>
      </c>
      <c r="O8">
        <f t="shared" si="1"/>
        <v>0.1074048770458049</v>
      </c>
      <c r="P8">
        <v>173</v>
      </c>
      <c r="Q8">
        <f t="shared" si="2"/>
        <v>1.7094017094017096E-2</v>
      </c>
      <c r="R8">
        <f t="shared" si="9"/>
        <v>9.2113689645975823E-4</v>
      </c>
    </row>
    <row r="9" spans="1:18" x14ac:dyDescent="0.3">
      <c r="B9">
        <f t="shared" si="3"/>
        <v>2.4262545739185942E-3</v>
      </c>
      <c r="C9">
        <f t="shared" si="10"/>
        <v>1.4283245989964732E-3</v>
      </c>
      <c r="D9">
        <v>173</v>
      </c>
      <c r="E9">
        <f t="shared" si="4"/>
        <v>0.20195847</v>
      </c>
      <c r="F9">
        <v>351</v>
      </c>
      <c r="G9">
        <v>6</v>
      </c>
      <c r="H9">
        <f t="shared" si="5"/>
        <v>58.5</v>
      </c>
      <c r="I9">
        <f t="shared" si="6"/>
        <v>1.7094017094017096E-2</v>
      </c>
      <c r="J9">
        <v>12.5</v>
      </c>
      <c r="K9">
        <v>9.3000000000000007</v>
      </c>
      <c r="L9">
        <f t="shared" si="7"/>
        <v>0.1074048770458049</v>
      </c>
      <c r="M9">
        <f t="shared" si="0"/>
        <v>7.685569151693472E-4</v>
      </c>
      <c r="N9">
        <f t="shared" si="8"/>
        <v>7.6855691516934721</v>
      </c>
      <c r="O9">
        <f t="shared" si="1"/>
        <v>8.8495567706754735E-2</v>
      </c>
      <c r="P9">
        <v>142</v>
      </c>
      <c r="Q9">
        <f t="shared" si="2"/>
        <v>1.4084507042253521E-2</v>
      </c>
      <c r="R9">
        <f t="shared" si="9"/>
        <v>9.1799040210089656E-4</v>
      </c>
    </row>
    <row r="10" spans="1:18" x14ac:dyDescent="0.3">
      <c r="B10">
        <f t="shared" si="3"/>
        <v>2.4170247136255391E-3</v>
      </c>
      <c r="C10">
        <f t="shared" si="10"/>
        <v>1.4567645802581843E-3</v>
      </c>
      <c r="D10">
        <v>142</v>
      </c>
      <c r="E10">
        <f t="shared" si="4"/>
        <v>0.16576937999999999</v>
      </c>
      <c r="F10">
        <v>355</v>
      </c>
      <c r="G10">
        <v>5</v>
      </c>
      <c r="H10">
        <f t="shared" si="5"/>
        <v>71</v>
      </c>
      <c r="I10">
        <f t="shared" si="6"/>
        <v>1.4084507042253521E-2</v>
      </c>
      <c r="J10">
        <v>12.5</v>
      </c>
      <c r="K10">
        <v>9.1999999999999993</v>
      </c>
      <c r="L10">
        <f t="shared" si="7"/>
        <v>8.8495567706754735E-2</v>
      </c>
      <c r="M10">
        <f t="shared" si="0"/>
        <v>7.8385998022986053E-4</v>
      </c>
      <c r="N10">
        <f t="shared" si="8"/>
        <v>7.8385998022986056</v>
      </c>
      <c r="O10">
        <f t="shared" si="1"/>
        <v>8.8246984651398686E-2</v>
      </c>
      <c r="P10">
        <v>142</v>
      </c>
      <c r="Q10">
        <f t="shared" si="2"/>
        <v>1.4044943820224719E-2</v>
      </c>
      <c r="R10">
        <f t="shared" si="9"/>
        <v>6.2320822328700519E-4</v>
      </c>
    </row>
    <row r="11" spans="1:18" x14ac:dyDescent="0.3">
      <c r="B11">
        <f t="shared" si="3"/>
        <v>2.423833233945611E-3</v>
      </c>
      <c r="C11">
        <f t="shared" si="10"/>
        <v>1.4526725449203804E-3</v>
      </c>
      <c r="D11">
        <v>142</v>
      </c>
      <c r="E11">
        <f t="shared" si="4"/>
        <v>0.16576937999999999</v>
      </c>
      <c r="F11">
        <v>356</v>
      </c>
      <c r="G11">
        <v>5</v>
      </c>
      <c r="H11">
        <f t="shared" si="5"/>
        <v>71.2</v>
      </c>
      <c r="I11">
        <f t="shared" si="6"/>
        <v>1.4044943820224719E-2</v>
      </c>
      <c r="J11">
        <v>12.5</v>
      </c>
      <c r="K11">
        <v>9.1999999999999993</v>
      </c>
      <c r="L11">
        <f t="shared" si="7"/>
        <v>8.8246984651398686E-2</v>
      </c>
      <c r="M11">
        <f t="shared" si="0"/>
        <v>7.8165812635281034E-4</v>
      </c>
      <c r="N11">
        <f t="shared" si="8"/>
        <v>7.8165812635281036</v>
      </c>
      <c r="O11">
        <f t="shared" si="1"/>
        <v>7.2428649074116266E-2</v>
      </c>
      <c r="P11">
        <v>116</v>
      </c>
      <c r="Q11">
        <f t="shared" si="2"/>
        <v>1.1527377521613832E-2</v>
      </c>
      <c r="R11">
        <f t="shared" si="9"/>
        <v>6.197119708665638E-4</v>
      </c>
    </row>
    <row r="12" spans="1:18" x14ac:dyDescent="0.3">
      <c r="B12">
        <f t="shared" si="3"/>
        <v>2.4124697176367586E-3</v>
      </c>
      <c r="C12">
        <f t="shared" si="10"/>
        <v>1.490349930811687E-3</v>
      </c>
      <c r="D12">
        <v>116</v>
      </c>
      <c r="E12">
        <f t="shared" si="4"/>
        <v>0.13541723999999999</v>
      </c>
      <c r="F12">
        <v>347</v>
      </c>
      <c r="G12">
        <v>4</v>
      </c>
      <c r="H12">
        <f t="shared" si="5"/>
        <v>86.75</v>
      </c>
      <c r="I12">
        <f t="shared" si="6"/>
        <v>1.1527377521613832E-2</v>
      </c>
      <c r="J12">
        <v>12.5</v>
      </c>
      <c r="K12">
        <v>9.1999999999999993</v>
      </c>
      <c r="L12">
        <f t="shared" si="7"/>
        <v>7.2428649074116266E-2</v>
      </c>
      <c r="M12">
        <f t="shared" si="0"/>
        <v>8.0193168006224922E-4</v>
      </c>
      <c r="N12">
        <f t="shared" si="8"/>
        <v>8.0193168006224926</v>
      </c>
      <c r="O12">
        <f t="shared" si="1"/>
        <v>7.2428649074116266E-2</v>
      </c>
      <c r="P12">
        <v>116</v>
      </c>
      <c r="Q12">
        <f t="shared" si="2"/>
        <v>1.1527377521613832E-2</v>
      </c>
      <c r="R12">
        <f t="shared" si="9"/>
        <v>4.174561906289122E-4</v>
      </c>
    </row>
    <row r="13" spans="1:18" x14ac:dyDescent="0.3">
      <c r="B13">
        <f t="shared" si="3"/>
        <v>2.4124697176367586E-3</v>
      </c>
      <c r="C13">
        <f t="shared" si="10"/>
        <v>1.4447894358725136E-3</v>
      </c>
      <c r="D13">
        <v>116</v>
      </c>
      <c r="E13">
        <f t="shared" si="4"/>
        <v>0.13541723999999999</v>
      </c>
      <c r="F13">
        <v>347</v>
      </c>
      <c r="G13">
        <v>4</v>
      </c>
      <c r="H13">
        <f t="shared" si="5"/>
        <v>86.75</v>
      </c>
      <c r="I13">
        <f t="shared" si="6"/>
        <v>1.1527377521613832E-2</v>
      </c>
      <c r="J13">
        <v>12.5</v>
      </c>
      <c r="K13">
        <v>9.3000000000000007</v>
      </c>
      <c r="L13">
        <f t="shared" si="7"/>
        <v>7.2428649074116266E-2</v>
      </c>
      <c r="M13">
        <f t="shared" si="0"/>
        <v>7.7741636087735129E-4</v>
      </c>
      <c r="N13">
        <f t="shared" si="8"/>
        <v>7.7741636087735131</v>
      </c>
      <c r="O13">
        <f t="shared" si="1"/>
        <v>4.7479989726797879E-2</v>
      </c>
      <c r="P13">
        <v>77</v>
      </c>
      <c r="Q13">
        <f t="shared" si="2"/>
        <v>7.556675062972292E-3</v>
      </c>
      <c r="R13">
        <f t="shared" si="9"/>
        <v>4.174561906289122E-4</v>
      </c>
    </row>
    <row r="14" spans="1:18" x14ac:dyDescent="0.3">
      <c r="B14">
        <f t="shared" si="3"/>
        <v>2.4428363575619621E-3</v>
      </c>
      <c r="C14">
        <f t="shared" si="10"/>
        <v>1.4625182352679641E-3</v>
      </c>
      <c r="D14">
        <v>77</v>
      </c>
      <c r="E14">
        <f t="shared" si="4"/>
        <v>8.9889029999999995E-2</v>
      </c>
      <c r="F14">
        <v>397</v>
      </c>
      <c r="G14">
        <v>3</v>
      </c>
      <c r="H14">
        <f t="shared" si="5"/>
        <v>132.33333333333334</v>
      </c>
      <c r="I14">
        <f t="shared" si="6"/>
        <v>7.556675062972292E-3</v>
      </c>
      <c r="J14">
        <v>12.5</v>
      </c>
      <c r="K14">
        <v>8.8000000000000007</v>
      </c>
      <c r="L14">
        <f t="shared" si="7"/>
        <v>4.7479989726797879E-2</v>
      </c>
      <c r="M14">
        <f t="shared" si="0"/>
        <v>7.869559230907283E-4</v>
      </c>
      <c r="N14">
        <f t="shared" si="8"/>
        <v>7.8695592309072833</v>
      </c>
      <c r="O14">
        <f t="shared" si="1"/>
        <v>4.7720394738072811E-2</v>
      </c>
      <c r="P14">
        <v>77</v>
      </c>
      <c r="Q14">
        <f>I15</f>
        <v>7.5949367088607601E-3</v>
      </c>
      <c r="R14">
        <f t="shared" si="9"/>
        <v>1.7939542717933707E-4</v>
      </c>
    </row>
    <row r="15" spans="1:18" x14ac:dyDescent="0.3">
      <c r="B15">
        <f t="shared" si="3"/>
        <v>2.4305298771712214E-3</v>
      </c>
      <c r="C15">
        <f t="shared" si="10"/>
        <v>1.4296597186887995E-3</v>
      </c>
      <c r="D15">
        <v>77</v>
      </c>
      <c r="E15">
        <f t="shared" si="4"/>
        <v>8.9889029999999995E-2</v>
      </c>
      <c r="F15">
        <v>395</v>
      </c>
      <c r="G15">
        <v>3</v>
      </c>
      <c r="H15">
        <f t="shared" si="5"/>
        <v>131.66666666666666</v>
      </c>
      <c r="I15">
        <f t="shared" si="6"/>
        <v>7.5949367088607601E-3</v>
      </c>
      <c r="J15">
        <v>12.5</v>
      </c>
      <c r="K15">
        <v>8.9</v>
      </c>
      <c r="L15">
        <f t="shared" si="7"/>
        <v>4.7720394738072811E-2</v>
      </c>
      <c r="M15">
        <f>(ASIN((J15-$A$5)/11.9)+ASIN(($A$5-K15)/11.9))/F15</f>
        <v>7.6927532012634149E-4</v>
      </c>
      <c r="N15">
        <f t="shared" si="8"/>
        <v>7.6927532012634146</v>
      </c>
      <c r="R15">
        <f t="shared" si="9"/>
        <v>1.8121668887875753E-4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1CB74-9C40-448F-A63F-90AFD94C3792}">
  <dimension ref="A1:D2"/>
  <sheetViews>
    <sheetView workbookViewId="0">
      <selection activeCell="C2" sqref="C2"/>
    </sheetView>
  </sheetViews>
  <sheetFormatPr defaultRowHeight="14.4" x14ac:dyDescent="0.3"/>
  <cols>
    <col min="1" max="1" width="16.109375" customWidth="1"/>
    <col min="2" max="2" width="14.33203125" customWidth="1"/>
    <col min="3" max="3" width="16.6640625" customWidth="1"/>
  </cols>
  <sheetData>
    <row r="1" spans="1:4" x14ac:dyDescent="0.3">
      <c r="A1" t="s">
        <v>10</v>
      </c>
      <c r="B1" t="s">
        <v>11</v>
      </c>
      <c r="C1" t="s">
        <v>12</v>
      </c>
      <c r="D1" t="s">
        <v>13</v>
      </c>
    </row>
    <row r="2" spans="1:4" x14ac:dyDescent="0.3">
      <c r="A2">
        <v>4.03</v>
      </c>
      <c r="B2">
        <v>3.2</v>
      </c>
      <c r="C2">
        <f>0.5*1.6162*0.039*0.039</f>
        <v>1.2291201E-3</v>
      </c>
      <c r="D2">
        <f>C2*B2*B2/A2/A2</f>
        <v>7.7496874089490121E-4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CCBA8-0889-4A2F-9A62-3E6FE8537A31}">
  <dimension ref="A1:K22"/>
  <sheetViews>
    <sheetView tabSelected="1" workbookViewId="0">
      <selection activeCell="G2" sqref="G2:G12"/>
    </sheetView>
  </sheetViews>
  <sheetFormatPr defaultRowHeight="14.4" x14ac:dyDescent="0.3"/>
  <cols>
    <col min="7" max="7" width="11.6640625" customWidth="1"/>
    <col min="10" max="10" width="12" bestFit="1" customWidth="1"/>
    <col min="11" max="11" width="11" bestFit="1" customWidth="1"/>
  </cols>
  <sheetData>
    <row r="1" spans="1:11" x14ac:dyDescent="0.3">
      <c r="A1">
        <v>400</v>
      </c>
      <c r="B1">
        <v>0</v>
      </c>
    </row>
    <row r="2" spans="1:11" x14ac:dyDescent="0.3">
      <c r="A2">
        <v>380</v>
      </c>
      <c r="B2">
        <v>4.5599999999999996</v>
      </c>
      <c r="C2">
        <f>LN(A2)</f>
        <v>5.9401712527204316</v>
      </c>
      <c r="D2">
        <v>1</v>
      </c>
      <c r="G2">
        <f>B2/0.775*1000</f>
        <v>5883.8709677419347</v>
      </c>
      <c r="H2">
        <f>-LN(A2/381.65)</f>
        <v>4.3327055240478885E-3</v>
      </c>
      <c r="J2">
        <f>H2*H2</f>
        <v>1.8772337158115089E-5</v>
      </c>
      <c r="K2">
        <f>G2*G2</f>
        <v>34619937.565036409</v>
      </c>
    </row>
    <row r="3" spans="1:11" x14ac:dyDescent="0.3">
      <c r="A3">
        <v>360</v>
      </c>
      <c r="B3">
        <v>55.3</v>
      </c>
      <c r="C3">
        <f>LN(A3)</f>
        <v>5.8861040314501558</v>
      </c>
      <c r="D3">
        <v>1</v>
      </c>
      <c r="G3">
        <f t="shared" ref="G3:G12" si="0">B3/0.775*1000</f>
        <v>71354.838709677409</v>
      </c>
      <c r="H3">
        <f t="shared" ref="H3:H12" si="1">-LN(A3/381.65)</f>
        <v>5.8399926794323591E-2</v>
      </c>
      <c r="J3">
        <f t="shared" ref="J3:J12" si="2">H3*H3</f>
        <v>3.4105514495823544E-3</v>
      </c>
      <c r="K3">
        <f t="shared" ref="K3:K12" si="3">G3*G3</f>
        <v>5091513007.2840776</v>
      </c>
    </row>
    <row r="4" spans="1:11" x14ac:dyDescent="0.3">
      <c r="A4">
        <v>340</v>
      </c>
      <c r="B4">
        <v>110</v>
      </c>
      <c r="C4">
        <f t="shared" ref="C4:C12" si="4">LN(A4)</f>
        <v>5.8289456176102075</v>
      </c>
      <c r="D4">
        <v>1</v>
      </c>
      <c r="G4">
        <f t="shared" si="0"/>
        <v>141935.48387096776</v>
      </c>
      <c r="H4">
        <f t="shared" si="1"/>
        <v>0.11555834063427226</v>
      </c>
      <c r="J4">
        <f t="shared" si="2"/>
        <v>1.3353730090146499E-2</v>
      </c>
      <c r="K4">
        <f t="shared" si="3"/>
        <v>20145681581.685749</v>
      </c>
    </row>
    <row r="5" spans="1:11" x14ac:dyDescent="0.3">
      <c r="A5">
        <v>320</v>
      </c>
      <c r="B5">
        <v>166</v>
      </c>
      <c r="C5">
        <f t="shared" si="4"/>
        <v>5.768320995793772</v>
      </c>
      <c r="D5">
        <v>1</v>
      </c>
      <c r="G5">
        <f t="shared" si="0"/>
        <v>214193.54838709676</v>
      </c>
      <c r="H5">
        <f t="shared" si="1"/>
        <v>0.17618296245070714</v>
      </c>
      <c r="J5">
        <f t="shared" si="2"/>
        <v>3.104043625790728E-2</v>
      </c>
      <c r="K5">
        <f t="shared" si="3"/>
        <v>45878876170.655563</v>
      </c>
    </row>
    <row r="6" spans="1:11" x14ac:dyDescent="0.3">
      <c r="A6">
        <v>300</v>
      </c>
      <c r="B6">
        <v>227</v>
      </c>
      <c r="C6">
        <f t="shared" si="4"/>
        <v>5.7037824746562009</v>
      </c>
      <c r="D6">
        <v>1</v>
      </c>
      <c r="G6">
        <f t="shared" si="0"/>
        <v>292903.22580645158</v>
      </c>
      <c r="H6">
        <f t="shared" si="1"/>
        <v>0.24072148358827825</v>
      </c>
      <c r="J6">
        <f t="shared" si="2"/>
        <v>5.7946832660941715E-2</v>
      </c>
      <c r="K6">
        <f t="shared" si="3"/>
        <v>85792299687.825165</v>
      </c>
    </row>
    <row r="7" spans="1:11" x14ac:dyDescent="0.3">
      <c r="A7">
        <v>280</v>
      </c>
      <c r="B7">
        <v>290</v>
      </c>
      <c r="C7">
        <f t="shared" si="4"/>
        <v>5.6347896031692493</v>
      </c>
      <c r="D7">
        <v>1</v>
      </c>
      <c r="G7">
        <f t="shared" si="0"/>
        <v>374193.54838709679</v>
      </c>
      <c r="H7">
        <f t="shared" si="1"/>
        <v>0.30971435507522976</v>
      </c>
      <c r="J7">
        <f t="shared" si="2"/>
        <v>9.59229817396655E-2</v>
      </c>
      <c r="K7">
        <f t="shared" si="3"/>
        <v>140020811654.52655</v>
      </c>
    </row>
    <row r="8" spans="1:11" x14ac:dyDescent="0.3">
      <c r="A8">
        <v>260</v>
      </c>
      <c r="B8">
        <v>356</v>
      </c>
      <c r="C8">
        <f t="shared" si="4"/>
        <v>5.5606816310155276</v>
      </c>
      <c r="D8">
        <v>1</v>
      </c>
      <c r="G8">
        <f t="shared" si="0"/>
        <v>459354.83870967739</v>
      </c>
      <c r="H8">
        <f t="shared" si="1"/>
        <v>0.38382232722895154</v>
      </c>
      <c r="J8">
        <f t="shared" si="2"/>
        <v>0.14731957887944835</v>
      </c>
      <c r="K8">
        <f t="shared" si="3"/>
        <v>211006867845.99374</v>
      </c>
    </row>
    <row r="9" spans="1:11" x14ac:dyDescent="0.3">
      <c r="A9">
        <v>240</v>
      </c>
      <c r="B9">
        <v>432</v>
      </c>
      <c r="C9">
        <f t="shared" si="4"/>
        <v>5.4806389233419912</v>
      </c>
      <c r="D9">
        <v>1</v>
      </c>
      <c r="G9">
        <f t="shared" si="0"/>
        <v>557419.35483870958</v>
      </c>
      <c r="H9">
        <f t="shared" si="1"/>
        <v>0.46386503490248804</v>
      </c>
      <c r="J9">
        <f t="shared" si="2"/>
        <v>0.21517077060508644</v>
      </c>
      <c r="K9">
        <f t="shared" si="3"/>
        <v>310716337148.80322</v>
      </c>
    </row>
    <row r="10" spans="1:11" x14ac:dyDescent="0.3">
      <c r="A10">
        <v>220</v>
      </c>
      <c r="B10">
        <v>513</v>
      </c>
      <c r="C10">
        <f t="shared" si="4"/>
        <v>5.393627546352362</v>
      </c>
      <c r="D10">
        <v>1</v>
      </c>
      <c r="G10">
        <f t="shared" si="0"/>
        <v>661935.48387096764</v>
      </c>
      <c r="H10">
        <f t="shared" si="1"/>
        <v>0.55087641189211789</v>
      </c>
      <c r="J10">
        <f t="shared" si="2"/>
        <v>0.30346482117913431</v>
      </c>
      <c r="K10">
        <f t="shared" si="3"/>
        <v>438158584807.49207</v>
      </c>
    </row>
    <row r="11" spans="1:11" x14ac:dyDescent="0.3">
      <c r="A11">
        <v>200</v>
      </c>
      <c r="B11">
        <v>600</v>
      </c>
      <c r="C11">
        <f t="shared" si="4"/>
        <v>5.2983173665480363</v>
      </c>
      <c r="D11">
        <v>1</v>
      </c>
      <c r="G11">
        <f t="shared" si="0"/>
        <v>774193.54838709673</v>
      </c>
      <c r="H11">
        <f t="shared" si="1"/>
        <v>0.64618659169644266</v>
      </c>
      <c r="J11">
        <f t="shared" si="2"/>
        <v>0.41755711128826511</v>
      </c>
      <c r="K11">
        <f t="shared" si="3"/>
        <v>599375650364.20386</v>
      </c>
    </row>
    <row r="12" spans="1:11" x14ac:dyDescent="0.3">
      <c r="A12">
        <v>180</v>
      </c>
      <c r="B12">
        <v>694</v>
      </c>
      <c r="C12">
        <f t="shared" si="4"/>
        <v>5.1929568508902104</v>
      </c>
      <c r="D12">
        <v>1</v>
      </c>
      <c r="G12">
        <f t="shared" si="0"/>
        <v>895483.87096774194</v>
      </c>
      <c r="H12">
        <f t="shared" si="1"/>
        <v>0.75154710735426888</v>
      </c>
      <c r="J12">
        <f t="shared" si="2"/>
        <v>0.56482305457256898</v>
      </c>
      <c r="K12">
        <f t="shared" si="3"/>
        <v>801891363163.37146</v>
      </c>
    </row>
    <row r="20" spans="1:1" x14ac:dyDescent="0.3">
      <c r="A20" t="s">
        <v>14</v>
      </c>
    </row>
    <row r="22" spans="1:1" x14ac:dyDescent="0.3">
      <c r="A22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2024-11-21T06:19:04Z</dcterms:created>
  <dcterms:modified xsi:type="dcterms:W3CDTF">2024-11-26T23:10:25Z</dcterms:modified>
</cp:coreProperties>
</file>