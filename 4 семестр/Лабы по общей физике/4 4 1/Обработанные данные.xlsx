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4 семестр\4 4 1\"/>
    </mc:Choice>
  </mc:AlternateContent>
  <xr:revisionPtr revIDLastSave="0" documentId="13_ncr:1_{F09AF51F-6BAF-4FAD-8F4D-D67B991B587B}" xr6:coauthVersionLast="47" xr6:coauthVersionMax="47" xr10:uidLastSave="{00000000-0000-0000-0000-000000000000}"/>
  <bookViews>
    <workbookView xWindow="-108" yWindow="-108" windowWidth="23256" windowHeight="13896" activeTab="1" xr2:uid="{A9863FC6-B8F8-4F3A-BE69-B585F6BB0A4F}"/>
  </bookViews>
  <sheets>
    <sheet name="Лист1" sheetId="1" r:id="rId1"/>
    <sheet name="Жёлтый" sheetId="2" r:id="rId2"/>
    <sheet name="Микрометр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E25" i="1" s="1"/>
  <c r="I8" i="1"/>
  <c r="I9" i="1"/>
  <c r="I10" i="1"/>
  <c r="I11" i="1"/>
  <c r="I12" i="1"/>
  <c r="E30" i="1" s="1"/>
  <c r="G30" i="1" s="1"/>
  <c r="I13" i="1"/>
  <c r="E31" i="1" s="1"/>
  <c r="G31" i="1" s="1"/>
  <c r="I14" i="1"/>
  <c r="I15" i="1"/>
  <c r="E33" i="1" s="1"/>
  <c r="G33" i="1" s="1"/>
  <c r="E27" i="1"/>
  <c r="G27" i="1" s="1"/>
  <c r="E28" i="1"/>
  <c r="G28" i="1" s="1"/>
  <c r="E29" i="1"/>
  <c r="G29" i="1" s="1"/>
  <c r="E20" i="1"/>
  <c r="L19" i="1" s="1"/>
  <c r="E21" i="1"/>
  <c r="G21" i="1" s="1"/>
  <c r="E22" i="1"/>
  <c r="G22" i="1" s="1"/>
  <c r="E23" i="1"/>
  <c r="G23" i="1" s="1"/>
  <c r="E24" i="1"/>
  <c r="L20" i="1" s="1"/>
  <c r="P3" i="1"/>
  <c r="F21" i="1" s="1"/>
  <c r="H21" i="1" s="1"/>
  <c r="P4" i="1"/>
  <c r="P5" i="1"/>
  <c r="F23" i="1" s="1"/>
  <c r="H23" i="1" s="1"/>
  <c r="P6" i="1"/>
  <c r="F24" i="1" s="1"/>
  <c r="M20" i="1" s="1"/>
  <c r="P7" i="1"/>
  <c r="F25" i="1" s="1"/>
  <c r="M21" i="1" s="1"/>
  <c r="P8" i="1"/>
  <c r="P9" i="1"/>
  <c r="F27" i="1" s="1"/>
  <c r="P10" i="1"/>
  <c r="P11" i="1"/>
  <c r="F29" i="1" s="1"/>
  <c r="H29" i="1" s="1"/>
  <c r="P12" i="1"/>
  <c r="F30" i="1" s="1"/>
  <c r="H30" i="1" s="1"/>
  <c r="P13" i="1"/>
  <c r="F31" i="1" s="1"/>
  <c r="H31" i="1" s="1"/>
  <c r="P14" i="1"/>
  <c r="F32" i="1" s="1"/>
  <c r="H32" i="1" s="1"/>
  <c r="P15" i="1"/>
  <c r="P2" i="1"/>
  <c r="F20" i="1" s="1"/>
  <c r="M19" i="1" s="1"/>
  <c r="G25" i="1" l="1"/>
  <c r="L21" i="1"/>
  <c r="L23" i="1"/>
  <c r="L22" i="1"/>
  <c r="M22" i="1"/>
  <c r="M24" i="1"/>
  <c r="M23" i="1"/>
  <c r="L24" i="1"/>
  <c r="R8" i="1"/>
  <c r="G24" i="1"/>
  <c r="H25" i="1"/>
  <c r="H24" i="1"/>
  <c r="R4" i="1"/>
  <c r="R5" i="1"/>
  <c r="H27" i="1"/>
  <c r="G20" i="1"/>
  <c r="H20" i="1"/>
  <c r="R3" i="1"/>
  <c r="R6" i="1"/>
  <c r="R15" i="1"/>
  <c r="R10" i="1"/>
  <c r="E26" i="1"/>
  <c r="F22" i="1"/>
  <c r="F33" i="1"/>
  <c r="H33" i="1" s="1"/>
  <c r="R14" i="1"/>
  <c r="R13" i="1"/>
  <c r="F28" i="1"/>
  <c r="R12" i="1"/>
  <c r="F26" i="1"/>
  <c r="R7" i="1"/>
  <c r="R11" i="1"/>
  <c r="E32" i="1"/>
  <c r="G32" i="1" s="1"/>
  <c r="R9" i="1"/>
  <c r="R2" i="1"/>
  <c r="H22" i="1" l="1"/>
  <c r="G26" i="1"/>
  <c r="H26" i="1"/>
  <c r="H28" i="1"/>
</calcChain>
</file>

<file path=xl/sharedStrings.xml><?xml version="1.0" encoding="utf-8"?>
<sst xmlns="http://schemas.openxmlformats.org/spreadsheetml/2006/main" count="84" uniqueCount="56">
  <si>
    <t>Сдвиг 1 минута вправо</t>
  </si>
  <si>
    <t>Влево:</t>
  </si>
  <si>
    <t>градус</t>
  </si>
  <si>
    <t>минута</t>
  </si>
  <si>
    <t>секунда</t>
  </si>
  <si>
    <t>Синий 2</t>
  </si>
  <si>
    <t>Синий 3</t>
  </si>
  <si>
    <t>Синий яркий</t>
  </si>
  <si>
    <t>Фиолетовый 2</t>
  </si>
  <si>
    <t>Зелёный яркий</t>
  </si>
  <si>
    <t>Голубой 2</t>
  </si>
  <si>
    <t>Голубой 3</t>
  </si>
  <si>
    <t>Голубой 4</t>
  </si>
  <si>
    <t>Голубой яркий</t>
  </si>
  <si>
    <t>Жёлтый яркий 1</t>
  </si>
  <si>
    <t>Жёлтый яркий 2</t>
  </si>
  <si>
    <t>Красный яркий 1</t>
  </si>
  <si>
    <t>Красный яркий 2</t>
  </si>
  <si>
    <t>Вправо:</t>
  </si>
  <si>
    <t>Фиолетовый яркий</t>
  </si>
  <si>
    <t>Второй порядок справа:</t>
  </si>
  <si>
    <t>Первый порядок справа:</t>
  </si>
  <si>
    <t>Угловая ширина первой слева жёлтой линии (1 порядок слева)</t>
  </si>
  <si>
    <t>Второй порядок слева:</t>
  </si>
  <si>
    <t>Новый сдвиг: 0 -- 1 минута 39 сек</t>
  </si>
  <si>
    <t>Открытие щели:</t>
  </si>
  <si>
    <t>0,84 мм</t>
  </si>
  <si>
    <t>Различимость с</t>
  </si>
  <si>
    <t>1,84 мм</t>
  </si>
  <si>
    <t>1,68 мм</t>
  </si>
  <si>
    <t>-- в другую сторону</t>
  </si>
  <si>
    <t>(7) R порядка 280</t>
  </si>
  <si>
    <t>рад</t>
  </si>
  <si>
    <t>Цвет</t>
  </si>
  <si>
    <t>Фиолетовый 1</t>
  </si>
  <si>
    <t>Синий 1</t>
  </si>
  <si>
    <t>Голубой 1</t>
  </si>
  <si>
    <t>Зелёный 1</t>
  </si>
  <si>
    <t>Жёлтый 1</t>
  </si>
  <si>
    <t>Жёлтый 2</t>
  </si>
  <si>
    <t>Красный 1</t>
  </si>
  <si>
    <t>Красный 2</t>
  </si>
  <si>
    <t>\varphi_{-1}</t>
  </si>
  <si>
    <t>\varphi_{+1}</t>
  </si>
  <si>
    <t>\lambda, нм</t>
  </si>
  <si>
    <t>лямбда</t>
  </si>
  <si>
    <t>нм</t>
  </si>
  <si>
    <t>sin phi -1</t>
  </si>
  <si>
    <t>sin phi +1</t>
  </si>
  <si>
    <t>m=-1</t>
  </si>
  <si>
    <t>577 нм</t>
  </si>
  <si>
    <t>m=1</t>
  </si>
  <si>
    <t>m=-2</t>
  </si>
  <si>
    <t>m=2</t>
  </si>
  <si>
    <t>Ширина в сек</t>
  </si>
  <si>
    <t>Порядок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</si>
</sst>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16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Лист1!$K$19:$K$24</c:f>
              <c:numCache>
                <c:formatCode>General</c:formatCode>
                <c:ptCount val="6"/>
                <c:pt idx="0">
                  <c:v>404.7</c:v>
                </c:pt>
                <c:pt idx="1">
                  <c:v>435.8</c:v>
                </c:pt>
                <c:pt idx="2">
                  <c:v>491.6</c:v>
                </c:pt>
                <c:pt idx="3">
                  <c:v>546.1</c:v>
                </c:pt>
                <c:pt idx="4">
                  <c:v>577</c:v>
                </c:pt>
                <c:pt idx="5">
                  <c:v>579.1</c:v>
                </c:pt>
              </c:numCache>
            </c:numRef>
          </c:xVal>
          <c:yVal>
            <c:numRef>
              <c:f>Лист1!$L$19:$L$24</c:f>
              <c:numCache>
                <c:formatCode>0.0000</c:formatCode>
                <c:ptCount val="6"/>
                <c:pt idx="0">
                  <c:v>0.20054263130419728</c:v>
                </c:pt>
                <c:pt idx="1">
                  <c:v>0.21926581830889941</c:v>
                </c:pt>
                <c:pt idx="2">
                  <c:v>0.25944319286667739</c:v>
                </c:pt>
                <c:pt idx="3">
                  <c:v>0.26615104147321628</c:v>
                </c:pt>
                <c:pt idx="4">
                  <c:v>0.28439785887957492</c:v>
                </c:pt>
                <c:pt idx="5">
                  <c:v>0.28338909880247232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47-4533-8D6E-6FA801213C3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Лист1!$K$19:$K$24</c:f>
              <c:numCache>
                <c:formatCode>General</c:formatCode>
                <c:ptCount val="6"/>
                <c:pt idx="0">
                  <c:v>404.7</c:v>
                </c:pt>
                <c:pt idx="1">
                  <c:v>435.8</c:v>
                </c:pt>
                <c:pt idx="2">
                  <c:v>491.6</c:v>
                </c:pt>
                <c:pt idx="3">
                  <c:v>546.1</c:v>
                </c:pt>
                <c:pt idx="4">
                  <c:v>577</c:v>
                </c:pt>
                <c:pt idx="5">
                  <c:v>579.1</c:v>
                </c:pt>
              </c:numCache>
            </c:numRef>
          </c:xVal>
          <c:yVal>
            <c:numRef>
              <c:f>Лист1!$M$19:$M$24</c:f>
              <c:numCache>
                <c:formatCode>0.0000</c:formatCode>
                <c:ptCount val="6"/>
                <c:pt idx="0">
                  <c:v>0.20125057375310806</c:v>
                </c:pt>
                <c:pt idx="1">
                  <c:v>0.21963032146111008</c:v>
                </c:pt>
                <c:pt idx="2">
                  <c:v>0.25932643102954034</c:v>
                </c:pt>
                <c:pt idx="3">
                  <c:v>0.26552973391803869</c:v>
                </c:pt>
                <c:pt idx="4">
                  <c:v>0.28344053288302279</c:v>
                </c:pt>
                <c:pt idx="5">
                  <c:v>0.2823942688461234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47-4533-8D6E-6FA801213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976256"/>
        <c:axId val="2078976736"/>
      </c:scatterChart>
      <c:valAx>
        <c:axId val="2078976256"/>
        <c:scaling>
          <c:orientation val="minMax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8976736"/>
        <c:crosses val="autoZero"/>
        <c:crossBetween val="midCat"/>
      </c:valAx>
      <c:valAx>
        <c:axId val="2078976736"/>
        <c:scaling>
          <c:orientation val="minMax"/>
          <c:min val="0.155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897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</xdr:colOff>
      <xdr:row>16</xdr:row>
      <xdr:rowOff>3810</xdr:rowOff>
    </xdr:from>
    <xdr:to>
      <xdr:col>20</xdr:col>
      <xdr:colOff>320040</xdr:colOff>
      <xdr:row>31</xdr:row>
      <xdr:rowOff>3810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14E7EDD-2921-302D-3926-FEA720592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404D-E189-4F73-93D5-047895963D26}">
  <dimension ref="A1:R33"/>
  <sheetViews>
    <sheetView workbookViewId="0">
      <selection activeCell="J29" sqref="J29"/>
    </sheetView>
  </sheetViews>
  <sheetFormatPr defaultRowHeight="14.4" x14ac:dyDescent="0.3"/>
  <cols>
    <col min="3" max="3" width="14" customWidth="1"/>
    <col min="4" max="4" width="15.44140625" customWidth="1"/>
    <col min="5" max="5" width="10.33203125" customWidth="1"/>
    <col min="6" max="6" width="10.77734375" customWidth="1"/>
    <col min="11" max="11" width="14.88671875" customWidth="1"/>
  </cols>
  <sheetData>
    <row r="1" spans="1:18" x14ac:dyDescent="0.3">
      <c r="A1" t="s">
        <v>0</v>
      </c>
      <c r="D1" t="s">
        <v>1</v>
      </c>
      <c r="F1" t="s">
        <v>2</v>
      </c>
      <c r="G1" t="s">
        <v>3</v>
      </c>
      <c r="H1" t="s">
        <v>4</v>
      </c>
      <c r="I1" t="s">
        <v>32</v>
      </c>
      <c r="K1" t="s">
        <v>18</v>
      </c>
      <c r="M1" t="s">
        <v>2</v>
      </c>
      <c r="N1" t="s">
        <v>3</v>
      </c>
      <c r="O1" t="s">
        <v>4</v>
      </c>
      <c r="P1" t="s">
        <v>32</v>
      </c>
    </row>
    <row r="2" spans="1:18" x14ac:dyDescent="0.3">
      <c r="D2" t="s">
        <v>19</v>
      </c>
      <c r="E2">
        <v>1</v>
      </c>
      <c r="F2">
        <v>168</v>
      </c>
      <c r="G2">
        <v>23</v>
      </c>
      <c r="H2">
        <v>15</v>
      </c>
      <c r="I2">
        <f>PI()*((180-F2)/180 + (G2-1)/60/180+H2/3600/180) - 0.014</f>
        <v>0.2019117728821318</v>
      </c>
      <c r="K2" t="s">
        <v>19</v>
      </c>
      <c r="L2">
        <v>1</v>
      </c>
      <c r="M2">
        <v>191</v>
      </c>
      <c r="N2">
        <v>44</v>
      </c>
      <c r="O2">
        <v>54</v>
      </c>
      <c r="P2">
        <f>-PI()*((180-M2)/180 + (N2+1)/60/180+O2/3600/180)+0.024</f>
        <v>0.20263444894161961</v>
      </c>
      <c r="R2">
        <f>I2-P2</f>
        <v>-7.22676059487809E-4</v>
      </c>
    </row>
    <row r="3" spans="1:18" x14ac:dyDescent="0.3">
      <c r="D3" t="s">
        <v>8</v>
      </c>
      <c r="E3">
        <v>2</v>
      </c>
      <c r="F3">
        <v>168</v>
      </c>
      <c r="G3">
        <v>18</v>
      </c>
      <c r="H3">
        <v>5</v>
      </c>
      <c r="I3">
        <f t="shared" ref="I3:I15" si="0">PI()*((180-F3)/180 + (G3-1)/60/180+H3/3600/180) - 0.014</f>
        <v>0.20040885047069226</v>
      </c>
      <c r="K3" t="s">
        <v>8</v>
      </c>
      <c r="L3">
        <v>2</v>
      </c>
      <c r="M3">
        <v>191</v>
      </c>
      <c r="N3">
        <v>50</v>
      </c>
      <c r="O3">
        <v>42</v>
      </c>
      <c r="P3">
        <f t="shared" ref="P3:P15" si="1">-PI()*((180-M3)/180 + (N3+1)/60/180+O3/3600/180)+0.024</f>
        <v>0.20094729733135841</v>
      </c>
      <c r="R3">
        <f t="shared" ref="R3:R15" si="2">I3-P3</f>
        <v>-5.3844686066614744E-4</v>
      </c>
    </row>
    <row r="4" spans="1:18" x14ac:dyDescent="0.3">
      <c r="D4" t="s">
        <v>5</v>
      </c>
      <c r="E4">
        <v>3</v>
      </c>
      <c r="F4">
        <v>167</v>
      </c>
      <c r="G4">
        <v>32</v>
      </c>
      <c r="H4">
        <v>23</v>
      </c>
      <c r="I4">
        <f t="shared" si="0"/>
        <v>0.22202184437455535</v>
      </c>
      <c r="K4" t="s">
        <v>5</v>
      </c>
      <c r="L4">
        <v>3</v>
      </c>
      <c r="M4">
        <v>192</v>
      </c>
      <c r="N4">
        <v>36</v>
      </c>
      <c r="O4">
        <v>38</v>
      </c>
      <c r="P4">
        <f t="shared" si="1"/>
        <v>0.22249241731986621</v>
      </c>
      <c r="R4">
        <f t="shared" si="2"/>
        <v>-4.705729453108598E-4</v>
      </c>
    </row>
    <row r="5" spans="1:18" x14ac:dyDescent="0.3">
      <c r="D5" t="s">
        <v>6</v>
      </c>
      <c r="E5">
        <v>4</v>
      </c>
      <c r="F5">
        <v>167</v>
      </c>
      <c r="G5">
        <v>31</v>
      </c>
      <c r="H5">
        <v>0</v>
      </c>
      <c r="I5">
        <f t="shared" si="0"/>
        <v>0.22161944901923447</v>
      </c>
      <c r="K5" t="s">
        <v>6</v>
      </c>
      <c r="L5">
        <v>4</v>
      </c>
      <c r="M5">
        <v>192</v>
      </c>
      <c r="N5">
        <v>38</v>
      </c>
      <c r="O5">
        <v>10</v>
      </c>
      <c r="P5">
        <f t="shared" si="1"/>
        <v>0.22204638873324545</v>
      </c>
      <c r="R5">
        <f t="shared" si="2"/>
        <v>-4.2693971401097652E-4</v>
      </c>
    </row>
    <row r="6" spans="1:18" x14ac:dyDescent="0.3">
      <c r="D6" t="s">
        <v>7</v>
      </c>
      <c r="E6">
        <v>5</v>
      </c>
      <c r="F6">
        <v>167</v>
      </c>
      <c r="G6">
        <v>29</v>
      </c>
      <c r="H6">
        <v>5</v>
      </c>
      <c r="I6">
        <f t="shared" si="0"/>
        <v>0.22106191328595845</v>
      </c>
      <c r="K6" t="s">
        <v>7</v>
      </c>
      <c r="L6">
        <v>5</v>
      </c>
      <c r="M6">
        <v>192</v>
      </c>
      <c r="N6">
        <v>40</v>
      </c>
      <c r="O6">
        <v>16</v>
      </c>
      <c r="P6">
        <f t="shared" si="1"/>
        <v>0.22143552349504744</v>
      </c>
      <c r="R6">
        <f t="shared" si="2"/>
        <v>-3.7361020908899256E-4</v>
      </c>
    </row>
    <row r="7" spans="1:18" x14ac:dyDescent="0.3">
      <c r="D7" t="s">
        <v>13</v>
      </c>
      <c r="E7">
        <v>6</v>
      </c>
      <c r="F7">
        <v>165</v>
      </c>
      <c r="G7">
        <v>51</v>
      </c>
      <c r="H7">
        <v>21</v>
      </c>
      <c r="I7">
        <f t="shared" si="0"/>
        <v>0.26244560910546849</v>
      </c>
      <c r="K7" t="s">
        <v>13</v>
      </c>
      <c r="L7">
        <v>6</v>
      </c>
      <c r="M7">
        <v>194</v>
      </c>
      <c r="N7">
        <v>19</v>
      </c>
      <c r="O7">
        <v>42</v>
      </c>
      <c r="P7">
        <f t="shared" si="1"/>
        <v>0.26232470935982571</v>
      </c>
      <c r="R7">
        <f t="shared" si="2"/>
        <v>1.2089974564277739E-4</v>
      </c>
    </row>
    <row r="8" spans="1:18" x14ac:dyDescent="0.3">
      <c r="D8" t="s">
        <v>10</v>
      </c>
      <c r="E8">
        <v>7</v>
      </c>
      <c r="F8">
        <v>165</v>
      </c>
      <c r="G8">
        <v>43</v>
      </c>
      <c r="H8">
        <v>27</v>
      </c>
      <c r="I8">
        <f t="shared" si="0"/>
        <v>0.26014759225700923</v>
      </c>
      <c r="K8" t="s">
        <v>10</v>
      </c>
      <c r="L8">
        <v>7</v>
      </c>
      <c r="M8">
        <v>194</v>
      </c>
      <c r="N8">
        <v>27</v>
      </c>
      <c r="O8">
        <v>30</v>
      </c>
      <c r="P8">
        <f t="shared" si="1"/>
        <v>0.26005578133223312</v>
      </c>
      <c r="R8">
        <f t="shared" si="2"/>
        <v>9.1810924776114522E-5</v>
      </c>
    </row>
    <row r="9" spans="1:18" x14ac:dyDescent="0.3">
      <c r="D9" t="s">
        <v>11</v>
      </c>
      <c r="E9">
        <v>8</v>
      </c>
      <c r="F9">
        <v>165</v>
      </c>
      <c r="G9">
        <v>32</v>
      </c>
      <c r="H9">
        <v>1</v>
      </c>
      <c r="I9">
        <f t="shared" si="0"/>
        <v>0.25682177040459786</v>
      </c>
      <c r="K9" t="s">
        <v>11</v>
      </c>
      <c r="L9">
        <v>8</v>
      </c>
      <c r="M9">
        <v>194</v>
      </c>
      <c r="N9">
        <v>39</v>
      </c>
      <c r="O9">
        <v>7</v>
      </c>
      <c r="P9">
        <f t="shared" si="1"/>
        <v>0.25667662997489959</v>
      </c>
      <c r="R9">
        <f t="shared" si="2"/>
        <v>1.4514042969826502E-4</v>
      </c>
    </row>
    <row r="10" spans="1:18" x14ac:dyDescent="0.3">
      <c r="D10" t="s">
        <v>12</v>
      </c>
      <c r="E10">
        <v>9</v>
      </c>
      <c r="F10">
        <v>165</v>
      </c>
      <c r="G10">
        <v>28</v>
      </c>
      <c r="H10">
        <v>21</v>
      </c>
      <c r="I10">
        <f t="shared" si="0"/>
        <v>0.2557551803061569</v>
      </c>
      <c r="K10" t="s">
        <v>12</v>
      </c>
      <c r="L10">
        <v>9</v>
      </c>
      <c r="M10">
        <v>194</v>
      </c>
      <c r="N10">
        <v>43</v>
      </c>
      <c r="O10">
        <v>4</v>
      </c>
      <c r="P10">
        <f t="shared" si="1"/>
        <v>0.25552762155066999</v>
      </c>
      <c r="R10">
        <f t="shared" si="2"/>
        <v>2.2755875548691185E-4</v>
      </c>
    </row>
    <row r="11" spans="1:18" x14ac:dyDescent="0.3">
      <c r="D11" t="s">
        <v>9</v>
      </c>
      <c r="E11">
        <v>10</v>
      </c>
      <c r="F11">
        <v>164</v>
      </c>
      <c r="G11">
        <v>15</v>
      </c>
      <c r="H11">
        <v>15</v>
      </c>
      <c r="I11">
        <f t="shared" si="0"/>
        <v>0.26939783729257927</v>
      </c>
      <c r="K11" t="s">
        <v>9</v>
      </c>
      <c r="L11">
        <v>10</v>
      </c>
      <c r="M11">
        <v>195</v>
      </c>
      <c r="N11">
        <v>57</v>
      </c>
      <c r="O11">
        <v>36</v>
      </c>
      <c r="P11">
        <f t="shared" si="1"/>
        <v>0.26875333877133811</v>
      </c>
      <c r="R11">
        <f t="shared" si="2"/>
        <v>6.444985212411547E-4</v>
      </c>
    </row>
    <row r="12" spans="1:18" x14ac:dyDescent="0.3">
      <c r="D12" t="s">
        <v>14</v>
      </c>
      <c r="E12">
        <v>11</v>
      </c>
      <c r="F12">
        <v>163</v>
      </c>
      <c r="G12">
        <v>20</v>
      </c>
      <c r="H12">
        <v>30</v>
      </c>
      <c r="I12">
        <f t="shared" si="0"/>
        <v>0.28837829290801759</v>
      </c>
      <c r="K12" t="s">
        <v>14</v>
      </c>
      <c r="L12">
        <v>11</v>
      </c>
      <c r="M12">
        <v>196</v>
      </c>
      <c r="N12">
        <v>53</v>
      </c>
      <c r="O12">
        <v>34</v>
      </c>
      <c r="P12">
        <f t="shared" si="1"/>
        <v>0.28737988039956652</v>
      </c>
      <c r="R12">
        <f t="shared" si="2"/>
        <v>9.9841250845106311E-4</v>
      </c>
    </row>
    <row r="13" spans="1:18" x14ac:dyDescent="0.3">
      <c r="D13" t="s">
        <v>15</v>
      </c>
      <c r="E13">
        <v>12</v>
      </c>
      <c r="F13">
        <v>163</v>
      </c>
      <c r="G13">
        <v>16</v>
      </c>
      <c r="H13">
        <v>53</v>
      </c>
      <c r="I13">
        <f t="shared" si="0"/>
        <v>0.28732624722000982</v>
      </c>
      <c r="K13" t="s">
        <v>15</v>
      </c>
      <c r="L13">
        <v>12</v>
      </c>
      <c r="M13">
        <v>196</v>
      </c>
      <c r="N13">
        <v>57</v>
      </c>
      <c r="O13">
        <v>19</v>
      </c>
      <c r="P13">
        <f t="shared" si="1"/>
        <v>0.28628904961707008</v>
      </c>
      <c r="R13">
        <f t="shared" si="2"/>
        <v>1.0371976029397434E-3</v>
      </c>
    </row>
    <row r="14" spans="1:18" x14ac:dyDescent="0.3">
      <c r="D14" t="s">
        <v>16</v>
      </c>
      <c r="E14">
        <v>13</v>
      </c>
      <c r="F14">
        <v>162</v>
      </c>
      <c r="G14">
        <v>17</v>
      </c>
      <c r="H14">
        <v>30</v>
      </c>
      <c r="I14">
        <f t="shared" si="0"/>
        <v>0.30495892080196374</v>
      </c>
      <c r="K14" t="s">
        <v>16</v>
      </c>
      <c r="L14">
        <v>13</v>
      </c>
      <c r="M14">
        <v>197</v>
      </c>
      <c r="N14">
        <v>57</v>
      </c>
      <c r="O14">
        <v>59</v>
      </c>
      <c r="P14">
        <f t="shared" si="1"/>
        <v>0.30354841666456955</v>
      </c>
      <c r="R14">
        <f t="shared" si="2"/>
        <v>1.4105041373941862E-3</v>
      </c>
    </row>
    <row r="15" spans="1:18" x14ac:dyDescent="0.3">
      <c r="D15" t="s">
        <v>17</v>
      </c>
      <c r="E15">
        <v>14</v>
      </c>
      <c r="F15">
        <v>161</v>
      </c>
      <c r="G15">
        <v>57</v>
      </c>
      <c r="H15">
        <v>37</v>
      </c>
      <c r="I15">
        <f t="shared" si="0"/>
        <v>0.33408167862621352</v>
      </c>
      <c r="K15" t="s">
        <v>17</v>
      </c>
      <c r="L15">
        <v>14</v>
      </c>
      <c r="M15">
        <v>198</v>
      </c>
      <c r="N15">
        <v>18</v>
      </c>
      <c r="O15">
        <v>16</v>
      </c>
      <c r="P15">
        <f t="shared" si="1"/>
        <v>0.33255481920535312</v>
      </c>
      <c r="R15">
        <f t="shared" si="2"/>
        <v>1.5268594208603936E-3</v>
      </c>
    </row>
    <row r="18" spans="3:13" x14ac:dyDescent="0.3">
      <c r="K18" t="s">
        <v>46</v>
      </c>
      <c r="L18" t="s">
        <v>47</v>
      </c>
      <c r="M18" t="s">
        <v>48</v>
      </c>
    </row>
    <row r="19" spans="3:13" x14ac:dyDescent="0.3">
      <c r="C19" t="s">
        <v>33</v>
      </c>
      <c r="D19" t="s">
        <v>44</v>
      </c>
      <c r="E19" s="3" t="s">
        <v>42</v>
      </c>
      <c r="F19" s="3" t="s">
        <v>43</v>
      </c>
      <c r="G19" t="s">
        <v>45</v>
      </c>
      <c r="K19">
        <v>404.7</v>
      </c>
      <c r="L19" s="4">
        <f>SIN(E20)</f>
        <v>0.20054263130419728</v>
      </c>
      <c r="M19" s="4">
        <f>SIN(F20)</f>
        <v>0.20125057375310806</v>
      </c>
    </row>
    <row r="20" spans="3:13" x14ac:dyDescent="0.3">
      <c r="C20" s="2" t="s">
        <v>34</v>
      </c>
      <c r="D20">
        <v>404.7</v>
      </c>
      <c r="E20" s="4">
        <f>I2</f>
        <v>0.2019117728821318</v>
      </c>
      <c r="F20" s="4">
        <f>P2</f>
        <v>0.20263444894161961</v>
      </c>
      <c r="G20">
        <f>SIN(E20)/500*1000000</f>
        <v>401.08526260839454</v>
      </c>
      <c r="H20">
        <f>SIN(F20)/500*1000000</f>
        <v>402.50114750621611</v>
      </c>
      <c r="K20">
        <v>435.8</v>
      </c>
      <c r="L20" s="4">
        <f>SIN(E24)</f>
        <v>0.21926581830889941</v>
      </c>
      <c r="M20" s="4">
        <f>SIN(F24)</f>
        <v>0.21963032146111008</v>
      </c>
    </row>
    <row r="21" spans="3:13" x14ac:dyDescent="0.3">
      <c r="C21" t="s">
        <v>8</v>
      </c>
      <c r="E21" s="4">
        <f t="shared" ref="E21:E33" si="3">I3</f>
        <v>0.20040885047069226</v>
      </c>
      <c r="F21" s="4">
        <f t="shared" ref="F21:F33" si="4">P3</f>
        <v>0.20094729733135841</v>
      </c>
      <c r="G21">
        <f t="shared" ref="G21:H33" si="5">SIN(E21)/500*1000000</f>
        <v>398.14002972180782</v>
      </c>
      <c r="H21">
        <f t="shared" si="5"/>
        <v>399.19531193956863</v>
      </c>
      <c r="K21">
        <v>491.6</v>
      </c>
      <c r="L21" s="4">
        <f>SIN(E25)</f>
        <v>0.25944319286667739</v>
      </c>
      <c r="M21" s="4">
        <f>SIN(F25)</f>
        <v>0.25932643102954034</v>
      </c>
    </row>
    <row r="22" spans="3:13" x14ac:dyDescent="0.3">
      <c r="C22" t="s">
        <v>35</v>
      </c>
      <c r="E22" s="4">
        <f t="shared" si="3"/>
        <v>0.22202184437455535</v>
      </c>
      <c r="F22" s="4">
        <f t="shared" si="4"/>
        <v>0.22249241731986621</v>
      </c>
      <c r="G22">
        <f t="shared" si="5"/>
        <v>440.40457691860274</v>
      </c>
      <c r="H22">
        <f t="shared" si="5"/>
        <v>441.32257286213724</v>
      </c>
      <c r="K22">
        <v>546.1</v>
      </c>
      <c r="L22" s="4">
        <f>SIN(E29)</f>
        <v>0.26615104147321628</v>
      </c>
      <c r="M22" s="4">
        <f>SIN(F29)</f>
        <v>0.26552973391803869</v>
      </c>
    </row>
    <row r="23" spans="3:13" x14ac:dyDescent="0.3">
      <c r="C23" t="s">
        <v>5</v>
      </c>
      <c r="E23" s="4">
        <f t="shared" si="3"/>
        <v>0.22161944901923447</v>
      </c>
      <c r="F23" s="4">
        <f t="shared" si="4"/>
        <v>0.22204638873324545</v>
      </c>
      <c r="G23">
        <f t="shared" si="5"/>
        <v>439.61950478232944</v>
      </c>
      <c r="H23">
        <f t="shared" si="5"/>
        <v>440.45246058288916</v>
      </c>
      <c r="K23">
        <v>577</v>
      </c>
      <c r="L23" s="4">
        <f>SIN(E30)</f>
        <v>0.28439785887957492</v>
      </c>
      <c r="M23" s="4">
        <f>SIN(F30)</f>
        <v>0.28344053288302279</v>
      </c>
    </row>
    <row r="24" spans="3:13" x14ac:dyDescent="0.3">
      <c r="C24" s="2" t="s">
        <v>6</v>
      </c>
      <c r="D24">
        <v>435.8</v>
      </c>
      <c r="E24" s="4">
        <f t="shared" si="3"/>
        <v>0.22106191328595845</v>
      </c>
      <c r="F24" s="4">
        <f t="shared" si="4"/>
        <v>0.22143552349504744</v>
      </c>
      <c r="G24">
        <f t="shared" si="5"/>
        <v>438.53163661779882</v>
      </c>
      <c r="H24">
        <f t="shared" si="5"/>
        <v>439.26064292222014</v>
      </c>
      <c r="K24">
        <v>579.1</v>
      </c>
      <c r="L24" s="4">
        <f>SIN(E31)</f>
        <v>0.28338909880247232</v>
      </c>
      <c r="M24" s="4">
        <f>SIN(F31)</f>
        <v>0.2823942688461234</v>
      </c>
    </row>
    <row r="25" spans="3:13" x14ac:dyDescent="0.3">
      <c r="C25" s="2" t="s">
        <v>36</v>
      </c>
      <c r="D25">
        <v>491.6</v>
      </c>
      <c r="E25" s="4">
        <f t="shared" si="3"/>
        <v>0.26244560910546849</v>
      </c>
      <c r="F25" s="4">
        <f t="shared" si="4"/>
        <v>0.26232470935982571</v>
      </c>
      <c r="G25">
        <f t="shared" si="5"/>
        <v>518.8863857333547</v>
      </c>
      <c r="H25">
        <f t="shared" si="5"/>
        <v>518.65286205908069</v>
      </c>
    </row>
    <row r="26" spans="3:13" x14ac:dyDescent="0.3">
      <c r="C26" t="s">
        <v>10</v>
      </c>
      <c r="E26" s="4">
        <f t="shared" si="3"/>
        <v>0.26014759225700923</v>
      </c>
      <c r="F26" s="4">
        <f t="shared" si="4"/>
        <v>0.26005578133223312</v>
      </c>
      <c r="G26">
        <f t="shared" si="5"/>
        <v>514.44636153921488</v>
      </c>
      <c r="H26">
        <f t="shared" si="5"/>
        <v>514.26891602520766</v>
      </c>
    </row>
    <row r="27" spans="3:13" x14ac:dyDescent="0.3">
      <c r="C27" t="s">
        <v>11</v>
      </c>
      <c r="E27" s="4">
        <f t="shared" si="3"/>
        <v>0.25682177040459786</v>
      </c>
      <c r="F27" s="4">
        <f t="shared" si="4"/>
        <v>0.25667662997489959</v>
      </c>
      <c r="G27">
        <f t="shared" si="5"/>
        <v>508.01569886214827</v>
      </c>
      <c r="H27">
        <f t="shared" si="5"/>
        <v>507.73493323893712</v>
      </c>
    </row>
    <row r="28" spans="3:13" x14ac:dyDescent="0.3">
      <c r="C28" t="s">
        <v>12</v>
      </c>
      <c r="E28" s="4">
        <f t="shared" si="3"/>
        <v>0.2557551803061569</v>
      </c>
      <c r="F28" s="4">
        <f t="shared" si="4"/>
        <v>0.25552762155066999</v>
      </c>
      <c r="G28">
        <f t="shared" si="5"/>
        <v>505.95219380276166</v>
      </c>
      <c r="H28">
        <f t="shared" si="5"/>
        <v>505.51186701736356</v>
      </c>
    </row>
    <row r="29" spans="3:13" x14ac:dyDescent="0.3">
      <c r="C29" s="2" t="s">
        <v>37</v>
      </c>
      <c r="D29">
        <v>546.1</v>
      </c>
      <c r="E29" s="4">
        <f t="shared" si="3"/>
        <v>0.26939783729257927</v>
      </c>
      <c r="F29" s="4">
        <f t="shared" si="4"/>
        <v>0.26875333877133811</v>
      </c>
      <c r="G29">
        <f t="shared" si="5"/>
        <v>532.30208294643251</v>
      </c>
      <c r="H29">
        <f t="shared" si="5"/>
        <v>531.05946783607737</v>
      </c>
    </row>
    <row r="30" spans="3:13" x14ac:dyDescent="0.3">
      <c r="C30" s="2" t="s">
        <v>38</v>
      </c>
      <c r="D30">
        <v>577</v>
      </c>
      <c r="E30" s="4">
        <f t="shared" si="3"/>
        <v>0.28837829290801759</v>
      </c>
      <c r="F30" s="4">
        <f t="shared" si="4"/>
        <v>0.28737988039956652</v>
      </c>
      <c r="G30">
        <f t="shared" si="5"/>
        <v>568.79571775914985</v>
      </c>
      <c r="H30">
        <f t="shared" si="5"/>
        <v>566.88106576604559</v>
      </c>
    </row>
    <row r="31" spans="3:13" x14ac:dyDescent="0.3">
      <c r="C31" s="2" t="s">
        <v>39</v>
      </c>
      <c r="D31">
        <v>579.1</v>
      </c>
      <c r="E31" s="4">
        <f t="shared" si="3"/>
        <v>0.28732624722000982</v>
      </c>
      <c r="F31" s="4">
        <f t="shared" si="4"/>
        <v>0.28628904961707008</v>
      </c>
      <c r="G31">
        <f t="shared" si="5"/>
        <v>566.77819760494469</v>
      </c>
      <c r="H31">
        <f t="shared" si="5"/>
        <v>564.78853769224679</v>
      </c>
    </row>
    <row r="32" spans="3:13" x14ac:dyDescent="0.3">
      <c r="C32" s="2" t="s">
        <v>40</v>
      </c>
      <c r="E32" s="4">
        <f t="shared" si="3"/>
        <v>0.30495892080196374</v>
      </c>
      <c r="F32" s="4">
        <f t="shared" si="4"/>
        <v>0.30354841666456955</v>
      </c>
      <c r="G32">
        <f t="shared" si="5"/>
        <v>600.50798337607864</v>
      </c>
      <c r="H32">
        <f t="shared" si="5"/>
        <v>597.81654196332158</v>
      </c>
    </row>
    <row r="33" spans="3:8" x14ac:dyDescent="0.3">
      <c r="C33" s="2" t="s">
        <v>41</v>
      </c>
      <c r="E33" s="4">
        <f t="shared" si="3"/>
        <v>0.33408167862621352</v>
      </c>
      <c r="F33" s="4">
        <f t="shared" si="4"/>
        <v>0.33255481920535312</v>
      </c>
      <c r="G33">
        <f t="shared" si="5"/>
        <v>655.80351839000843</v>
      </c>
      <c r="H33">
        <f t="shared" si="5"/>
        <v>652.91787076730918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7F23-CB8E-438C-AEA2-B0ED6D577E81}">
  <dimension ref="A1:K22"/>
  <sheetViews>
    <sheetView tabSelected="1" workbookViewId="0">
      <selection activeCell="G11" sqref="G11:I22"/>
    </sheetView>
  </sheetViews>
  <sheetFormatPr defaultRowHeight="14.4" x14ac:dyDescent="0.3"/>
  <cols>
    <col min="7" max="7" width="12.77734375" customWidth="1"/>
  </cols>
  <sheetData>
    <row r="1" spans="1:11" x14ac:dyDescent="0.3">
      <c r="A1" t="s">
        <v>22</v>
      </c>
      <c r="G1" t="s">
        <v>55</v>
      </c>
      <c r="H1" t="s">
        <v>49</v>
      </c>
      <c r="I1" t="s">
        <v>51</v>
      </c>
      <c r="J1" t="s">
        <v>52</v>
      </c>
      <c r="K1" t="s">
        <v>53</v>
      </c>
    </row>
    <row r="2" spans="1:11" x14ac:dyDescent="0.3">
      <c r="A2">
        <v>163</v>
      </c>
      <c r="B2">
        <v>20</v>
      </c>
      <c r="C2">
        <v>45</v>
      </c>
      <c r="G2" t="s">
        <v>54</v>
      </c>
      <c r="H2">
        <v>27</v>
      </c>
      <c r="I2">
        <v>30</v>
      </c>
      <c r="J2">
        <v>60</v>
      </c>
      <c r="K2">
        <v>51</v>
      </c>
    </row>
    <row r="3" spans="1:11" x14ac:dyDescent="0.3">
      <c r="A3">
        <v>163</v>
      </c>
      <c r="B3">
        <v>20</v>
      </c>
      <c r="C3">
        <v>18</v>
      </c>
      <c r="F3" t="s">
        <v>50</v>
      </c>
    </row>
    <row r="4" spans="1:11" x14ac:dyDescent="0.3">
      <c r="A4" t="s">
        <v>21</v>
      </c>
    </row>
    <row r="5" spans="1:11" x14ac:dyDescent="0.3">
      <c r="A5">
        <v>196</v>
      </c>
      <c r="B5">
        <v>53</v>
      </c>
      <c r="C5">
        <v>12</v>
      </c>
    </row>
    <row r="6" spans="1:11" x14ac:dyDescent="0.3">
      <c r="A6">
        <v>196</v>
      </c>
      <c r="B6">
        <v>53</v>
      </c>
      <c r="C6">
        <v>42</v>
      </c>
    </row>
    <row r="7" spans="1:11" x14ac:dyDescent="0.3">
      <c r="A7" t="s">
        <v>20</v>
      </c>
    </row>
    <row r="8" spans="1:11" x14ac:dyDescent="0.3">
      <c r="A8">
        <v>215</v>
      </c>
      <c r="B8">
        <v>39</v>
      </c>
      <c r="C8">
        <v>3</v>
      </c>
    </row>
    <row r="9" spans="1:11" x14ac:dyDescent="0.3">
      <c r="A9">
        <v>215</v>
      </c>
      <c r="B9">
        <v>39</v>
      </c>
      <c r="C9">
        <v>51</v>
      </c>
    </row>
    <row r="10" spans="1:11" x14ac:dyDescent="0.3">
      <c r="A10" t="s">
        <v>23</v>
      </c>
    </row>
    <row r="11" spans="1:11" x14ac:dyDescent="0.3">
      <c r="A11">
        <v>145</v>
      </c>
      <c r="B11">
        <v>11</v>
      </c>
      <c r="C11">
        <v>38</v>
      </c>
      <c r="G11" t="s">
        <v>49</v>
      </c>
    </row>
    <row r="12" spans="1:11" x14ac:dyDescent="0.3">
      <c r="A12">
        <v>145</v>
      </c>
      <c r="B12">
        <v>10</v>
      </c>
      <c r="C12">
        <v>38</v>
      </c>
      <c r="G12">
        <v>163</v>
      </c>
      <c r="H12">
        <v>20</v>
      </c>
      <c r="I12">
        <v>45</v>
      </c>
    </row>
    <row r="13" spans="1:11" x14ac:dyDescent="0.3">
      <c r="G13">
        <v>163</v>
      </c>
      <c r="H13">
        <v>20</v>
      </c>
      <c r="I13">
        <v>18</v>
      </c>
    </row>
    <row r="14" spans="1:11" x14ac:dyDescent="0.3">
      <c r="G14" t="s">
        <v>51</v>
      </c>
    </row>
    <row r="15" spans="1:11" x14ac:dyDescent="0.3">
      <c r="G15">
        <v>196</v>
      </c>
      <c r="H15">
        <v>53</v>
      </c>
      <c r="I15">
        <v>12</v>
      </c>
    </row>
    <row r="16" spans="1:11" x14ac:dyDescent="0.3">
      <c r="G16">
        <v>196</v>
      </c>
      <c r="H16">
        <v>53</v>
      </c>
      <c r="I16">
        <v>42</v>
      </c>
    </row>
    <row r="17" spans="7:9" x14ac:dyDescent="0.3">
      <c r="G17" t="s">
        <v>53</v>
      </c>
    </row>
    <row r="18" spans="7:9" x14ac:dyDescent="0.3">
      <c r="G18">
        <v>215</v>
      </c>
      <c r="H18">
        <v>39</v>
      </c>
      <c r="I18">
        <v>3</v>
      </c>
    </row>
    <row r="19" spans="7:9" x14ac:dyDescent="0.3">
      <c r="G19">
        <v>215</v>
      </c>
      <c r="H19">
        <v>39</v>
      </c>
      <c r="I19">
        <v>54</v>
      </c>
    </row>
    <row r="20" spans="7:9" x14ac:dyDescent="0.3">
      <c r="G20" t="s">
        <v>52</v>
      </c>
    </row>
    <row r="21" spans="7:9" x14ac:dyDescent="0.3">
      <c r="G21">
        <v>145</v>
      </c>
      <c r="H21">
        <v>11</v>
      </c>
      <c r="I21">
        <v>38</v>
      </c>
    </row>
    <row r="22" spans="7:9" x14ac:dyDescent="0.3">
      <c r="G22">
        <v>145</v>
      </c>
      <c r="H22">
        <v>10</v>
      </c>
      <c r="I22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4BF8-0575-4B64-ABF0-4AB7491B9D3D}">
  <dimension ref="A1:B9"/>
  <sheetViews>
    <sheetView workbookViewId="0">
      <selection activeCell="A11" sqref="A11"/>
    </sheetView>
  </sheetViews>
  <sheetFormatPr defaultRowHeight="14.4" x14ac:dyDescent="0.3"/>
  <sheetData>
    <row r="1" spans="1:2" x14ac:dyDescent="0.3">
      <c r="A1" t="s">
        <v>24</v>
      </c>
    </row>
    <row r="3" spans="1:2" x14ac:dyDescent="0.3">
      <c r="A3" t="s">
        <v>25</v>
      </c>
    </row>
    <row r="4" spans="1:2" x14ac:dyDescent="0.3">
      <c r="A4" t="s">
        <v>26</v>
      </c>
    </row>
    <row r="5" spans="1:2" x14ac:dyDescent="0.3">
      <c r="A5" t="s">
        <v>27</v>
      </c>
    </row>
    <row r="6" spans="1:2" x14ac:dyDescent="0.3">
      <c r="A6" t="s">
        <v>28</v>
      </c>
    </row>
    <row r="7" spans="1:2" x14ac:dyDescent="0.3">
      <c r="A7" t="s">
        <v>29</v>
      </c>
      <c r="B7" s="1" t="s">
        <v>30</v>
      </c>
    </row>
    <row r="9" spans="1:2" x14ac:dyDescent="0.3">
      <c r="A9" t="s">
        <v>31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Жёлтый</vt:lpstr>
      <vt:lpstr>Микрометр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2026-05-07T07:35:16Z</dcterms:created>
  <dcterms:modified xsi:type="dcterms:W3CDTF">2026-05-07T20:35:30Z</dcterms:modified>
</cp:coreProperties>
</file>