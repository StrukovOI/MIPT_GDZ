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3 4 и 3 3 6\"/>
    </mc:Choice>
  </mc:AlternateContent>
  <xr:revisionPtr revIDLastSave="0" documentId="13_ncr:1_{CAAD1996-527B-46B2-993B-629DE8F4AB70}" xr6:coauthVersionLast="47" xr6:coauthVersionMax="47" xr10:uidLastSave="{00000000-0000-0000-0000-000000000000}"/>
  <bookViews>
    <workbookView xWindow="-108" yWindow="-108" windowWidth="23256" windowHeight="13896" activeTab="8" xr2:uid="{1BE2A31B-87DC-40A8-BE48-3019EA1EB2AD}"/>
  </bookViews>
  <sheets>
    <sheet name="0,3 mA" sheetId="1" r:id="rId1"/>
    <sheet name="0,4" sheetId="2" r:id="rId2"/>
    <sheet name="0,5" sheetId="3" r:id="rId3"/>
    <sheet name="0,6" sheetId="4" r:id="rId4"/>
    <sheet name="0,7" sheetId="5" r:id="rId5"/>
    <sheet name="0,8" sheetId="6" r:id="rId6"/>
    <sheet name="0,9" sheetId="7" r:id="rId7"/>
    <sheet name="1" sheetId="8" r:id="rId8"/>
    <sheet name="Графики" sheetId="11" r:id="rId9"/>
    <sheet name="Лист9" sheetId="9" r:id="rId10"/>
    <sheet name="Лист1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2" i="7"/>
  <c r="F3" i="8"/>
  <c r="F4" i="8"/>
  <c r="F5" i="8"/>
  <c r="F6" i="8"/>
  <c r="F2" i="8"/>
  <c r="F3" i="6"/>
  <c r="F4" i="6"/>
  <c r="F5" i="6"/>
  <c r="F6" i="6"/>
  <c r="F2" i="6"/>
  <c r="F3" i="5"/>
  <c r="F4" i="5"/>
  <c r="F5" i="5"/>
  <c r="F6" i="5"/>
  <c r="F2" i="5"/>
  <c r="L3" i="8"/>
  <c r="L4" i="8"/>
  <c r="L5" i="8"/>
  <c r="L6" i="8"/>
  <c r="L2" i="8"/>
  <c r="E3" i="8"/>
  <c r="E4" i="8"/>
  <c r="E5" i="8"/>
  <c r="E6" i="8"/>
  <c r="E2" i="8"/>
  <c r="E3" i="7"/>
  <c r="E4" i="7"/>
  <c r="E5" i="7"/>
  <c r="E6" i="7"/>
  <c r="E2" i="7"/>
  <c r="E3" i="6"/>
  <c r="E4" i="6"/>
  <c r="E5" i="6"/>
  <c r="E6" i="6"/>
  <c r="E2" i="6"/>
  <c r="E3" i="5"/>
  <c r="E4" i="5"/>
  <c r="E5" i="5"/>
  <c r="E6" i="5"/>
  <c r="E2" i="5"/>
  <c r="F2" i="4"/>
  <c r="F3" i="4"/>
  <c r="F4" i="4"/>
  <c r="F5" i="4"/>
  <c r="F6" i="4"/>
  <c r="E3" i="4"/>
  <c r="E4" i="4"/>
  <c r="E5" i="4"/>
  <c r="E6" i="4"/>
  <c r="E2" i="4"/>
  <c r="F3" i="3"/>
  <c r="F4" i="3"/>
  <c r="F5" i="3"/>
  <c r="F6" i="3"/>
  <c r="F2" i="3"/>
  <c r="E3" i="3"/>
  <c r="E4" i="3"/>
  <c r="E5" i="3"/>
  <c r="E6" i="3"/>
  <c r="E2" i="3"/>
  <c r="E2" i="2"/>
  <c r="F3" i="2"/>
  <c r="F4" i="2"/>
  <c r="F5" i="2"/>
  <c r="F6" i="2"/>
  <c r="F2" i="2"/>
  <c r="E3" i="2"/>
  <c r="E4" i="2"/>
  <c r="E5" i="2"/>
  <c r="E6" i="2"/>
  <c r="J6" i="1"/>
  <c r="J3" i="1"/>
  <c r="J4" i="1"/>
  <c r="J5" i="1"/>
  <c r="J2" i="1"/>
  <c r="I5" i="1"/>
  <c r="I6" i="1"/>
  <c r="I2" i="1"/>
  <c r="C3" i="1"/>
  <c r="C4" i="1"/>
  <c r="C5" i="1"/>
  <c r="C6" i="1"/>
  <c r="C7" i="1"/>
  <c r="C8" i="1"/>
  <c r="C9" i="1"/>
  <c r="C2" i="1"/>
  <c r="B6" i="1"/>
  <c r="B8" i="1"/>
  <c r="B9" i="1"/>
  <c r="B7" i="1"/>
  <c r="B5" i="1"/>
  <c r="B4" i="1"/>
  <c r="B3" i="1"/>
  <c r="B2" i="1"/>
</calcChain>
</file>

<file path=xl/sharedStrings.xml><?xml version="1.0" encoding="utf-8"?>
<sst xmlns="http://schemas.openxmlformats.org/spreadsheetml/2006/main" count="41" uniqueCount="17">
  <si>
    <t>ток</t>
  </si>
  <si>
    <t>U_0</t>
  </si>
  <si>
    <t>U_34, mV</t>
  </si>
  <si>
    <t>I_M, A</t>
  </si>
  <si>
    <t>Обратно</t>
  </si>
  <si>
    <t>Знак носителей +</t>
  </si>
  <si>
    <t>Падение на 35</t>
  </si>
  <si>
    <t>0,17221 В</t>
  </si>
  <si>
    <t>Ф, миливеберы</t>
  </si>
  <si>
    <t>B, Тл</t>
  </si>
  <si>
    <t>B, Tl</t>
  </si>
  <si>
    <t>ЭДС Х, мВ</t>
  </si>
  <si>
    <t>U_0, мВ</t>
  </si>
  <si>
    <t>дипсик</t>
  </si>
  <si>
    <t>ток, А</t>
  </si>
  <si>
    <t>К, мВ/Тл</t>
  </si>
  <si>
    <t>ток, 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</si>
</sst>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'0,3 mA'!$I$2:$I$6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0.57333333333333347</c:v>
                </c:pt>
                <c:pt idx="2">
                  <c:v>0.85333333333333339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'0,3 mA'!$J$2:$J$6</c:f>
              <c:numCache>
                <c:formatCode>General</c:formatCode>
                <c:ptCount val="5"/>
                <c:pt idx="0">
                  <c:v>1.855</c:v>
                </c:pt>
                <c:pt idx="1">
                  <c:v>3.2299999999999995</c:v>
                </c:pt>
                <c:pt idx="2">
                  <c:v>4.3739999999999997</c:v>
                </c:pt>
                <c:pt idx="3">
                  <c:v>5.1120000000000001</c:v>
                </c:pt>
                <c:pt idx="4">
                  <c:v>5.57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8-430D-8803-CCC5B4DE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68815"/>
        <c:axId val="1645075055"/>
      </c:scatterChart>
      <c:valAx>
        <c:axId val="16450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75055"/>
        <c:crosses val="autoZero"/>
        <c:crossBetween val="midCat"/>
      </c:valAx>
      <c:valAx>
        <c:axId val="164507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'0,4'!$E$2:$E$6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'0,4'!$F$2:$F$6</c:f>
              <c:numCache>
                <c:formatCode>General</c:formatCode>
                <c:ptCount val="5"/>
                <c:pt idx="0">
                  <c:v>2.5339999999999998</c:v>
                </c:pt>
                <c:pt idx="1">
                  <c:v>4.375</c:v>
                </c:pt>
                <c:pt idx="2">
                  <c:v>5.91</c:v>
                </c:pt>
                <c:pt idx="3">
                  <c:v>6.8559999999999999</c:v>
                </c:pt>
                <c:pt idx="4">
                  <c:v>7.4499999999999993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B6-4FFD-A896-00C6A0AFF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71695"/>
        <c:axId val="1645084655"/>
      </c:scatterChart>
      <c:valAx>
        <c:axId val="164507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84655"/>
        <c:crosses val="autoZero"/>
        <c:crossBetween val="midCat"/>
      </c:valAx>
      <c:valAx>
        <c:axId val="16450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7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'0,5'!$E$2:$E$6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'0,5'!$F$2:$F$6</c:f>
              <c:numCache>
                <c:formatCode>General</c:formatCode>
                <c:ptCount val="5"/>
                <c:pt idx="0">
                  <c:v>3.238</c:v>
                </c:pt>
                <c:pt idx="1">
                  <c:v>5.4750000000000014</c:v>
                </c:pt>
                <c:pt idx="2">
                  <c:v>7.495000000000001</c:v>
                </c:pt>
                <c:pt idx="3">
                  <c:v>8.5790000000000006</c:v>
                </c:pt>
                <c:pt idx="4">
                  <c:v>9.2970000000000006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F-41A7-9027-867B4644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68335"/>
        <c:axId val="1645085615"/>
      </c:scatterChart>
      <c:valAx>
        <c:axId val="164506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85615"/>
        <c:crosses val="autoZero"/>
        <c:crossBetween val="midCat"/>
      </c:valAx>
      <c:valAx>
        <c:axId val="16450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6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'0,6'!$E$2:$E$6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'0,6'!$F$2:$F$6</c:f>
              <c:numCache>
                <c:formatCode>General</c:formatCode>
                <c:ptCount val="5"/>
                <c:pt idx="0">
                  <c:v>3.7709999999999995</c:v>
                </c:pt>
                <c:pt idx="1">
                  <c:v>6.5630000000000006</c:v>
                </c:pt>
                <c:pt idx="2">
                  <c:v>8.8339999999999996</c:v>
                </c:pt>
                <c:pt idx="3">
                  <c:v>10.265000000000001</c:v>
                </c:pt>
                <c:pt idx="4">
                  <c:v>11.123000000000001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2-49A6-80DF-2234754A6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73615"/>
        <c:axId val="1645090415"/>
      </c:scatterChart>
      <c:valAx>
        <c:axId val="164507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90415"/>
        <c:crosses val="autoZero"/>
        <c:crossBetween val="midCat"/>
      </c:valAx>
      <c:valAx>
        <c:axId val="164509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7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'0,7'!$E$2:$E$6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'0,7'!$F$2:$F$6</c:f>
              <c:numCache>
                <c:formatCode>General</c:formatCode>
                <c:ptCount val="5"/>
                <c:pt idx="0">
                  <c:v>4.3970000000000011</c:v>
                </c:pt>
                <c:pt idx="1">
                  <c:v>7.6510000000000007</c:v>
                </c:pt>
                <c:pt idx="2">
                  <c:v>10.132999999999999</c:v>
                </c:pt>
                <c:pt idx="3">
                  <c:v>11.815000000000001</c:v>
                </c:pt>
                <c:pt idx="4">
                  <c:v>12.812000000000001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0-4891-8AD8-7FDB4F280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98575"/>
        <c:axId val="1645099535"/>
      </c:scatterChart>
      <c:valAx>
        <c:axId val="164509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99535"/>
        <c:crosses val="autoZero"/>
        <c:crossBetween val="midCat"/>
      </c:valAx>
      <c:valAx>
        <c:axId val="16450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09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'0,8'!$E$2:$E$6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'0,8'!$F$2:$F$6</c:f>
              <c:numCache>
                <c:formatCode>General</c:formatCode>
                <c:ptCount val="5"/>
                <c:pt idx="0">
                  <c:v>4.9939999999999998</c:v>
                </c:pt>
                <c:pt idx="1">
                  <c:v>8.6289999999999996</c:v>
                </c:pt>
                <c:pt idx="2">
                  <c:v>11.525</c:v>
                </c:pt>
                <c:pt idx="3">
                  <c:v>13.379</c:v>
                </c:pt>
                <c:pt idx="4">
                  <c:v>14.517999999999999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E-497A-8C3D-4D5FE52F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15999"/>
        <c:axId val="1645100159"/>
      </c:scatterChart>
      <c:valAx>
        <c:axId val="164511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00159"/>
        <c:crosses val="autoZero"/>
        <c:crossBetween val="midCat"/>
      </c:valAx>
      <c:valAx>
        <c:axId val="16451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1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'0,9'!$E$2:$E$6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'0,9'!$F$2:$F$6</c:f>
              <c:numCache>
                <c:formatCode>General</c:formatCode>
                <c:ptCount val="5"/>
                <c:pt idx="0">
                  <c:v>5.6269999999999989</c:v>
                </c:pt>
                <c:pt idx="1">
                  <c:v>9.6660000000000004</c:v>
                </c:pt>
                <c:pt idx="2">
                  <c:v>12.759</c:v>
                </c:pt>
                <c:pt idx="3">
                  <c:v>14.879000000000001</c:v>
                </c:pt>
                <c:pt idx="4">
                  <c:v>16.123000000000001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B-43FA-981F-7835168E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20319"/>
        <c:axId val="1645104959"/>
      </c:scatterChart>
      <c:valAx>
        <c:axId val="164512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04959"/>
        <c:crosses val="autoZero"/>
        <c:crossBetween val="midCat"/>
      </c:valAx>
      <c:valAx>
        <c:axId val="164510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2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'1'!$E$2:$E$6</c:f>
              <c:numCache>
                <c:formatCode>General</c:formatCode>
                <c:ptCount val="5"/>
                <c:pt idx="0">
                  <c:v>0.29510000000000003</c:v>
                </c:pt>
                <c:pt idx="1">
                  <c:v>0.57020000000000004</c:v>
                </c:pt>
                <c:pt idx="2">
                  <c:v>0.84530000000000005</c:v>
                </c:pt>
                <c:pt idx="3">
                  <c:v>1.1204000000000001</c:v>
                </c:pt>
                <c:pt idx="4">
                  <c:v>1.3955000000000002</c:v>
                </c:pt>
              </c:numCache>
            </c:numRef>
          </c:xVal>
          <c:yVal>
            <c:numRef>
              <c:f>'1'!$F$2:$F$6</c:f>
              <c:numCache>
                <c:formatCode>General</c:formatCode>
                <c:ptCount val="5"/>
                <c:pt idx="0">
                  <c:v>6.1479999999999997</c:v>
                </c:pt>
                <c:pt idx="1">
                  <c:v>10.605</c:v>
                </c:pt>
                <c:pt idx="2">
                  <c:v>14.083000000000002</c:v>
                </c:pt>
                <c:pt idx="3">
                  <c:v>16.440999999999999</c:v>
                </c:pt>
                <c:pt idx="4">
                  <c:v>17.679000000000002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1-4D63-9386-9A3380FE9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16479"/>
        <c:axId val="1645117919"/>
      </c:scatterChart>
      <c:valAx>
        <c:axId val="164511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17919"/>
        <c:crosses val="autoZero"/>
        <c:crossBetween val="midCat"/>
      </c:valAx>
      <c:valAx>
        <c:axId val="16451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1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Лист1!$A$1:$A$8</c:f>
              <c:numCache>
                <c:formatCode>General</c:formatCode>
                <c:ptCount val="8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</c:numCache>
            </c:numRef>
          </c:xVal>
          <c:yVal>
            <c:numRef>
              <c:f>Лист1!$B$1:$B$8</c:f>
              <c:numCache>
                <c:formatCode>General</c:formatCode>
                <c:ptCount val="8"/>
                <c:pt idx="0">
                  <c:v>3.14</c:v>
                </c:pt>
                <c:pt idx="1">
                  <c:v>4.38</c:v>
                </c:pt>
                <c:pt idx="2">
                  <c:v>5.49</c:v>
                </c:pt>
                <c:pt idx="3">
                  <c:v>6.41</c:v>
                </c:pt>
                <c:pt idx="4">
                  <c:v>7.31</c:v>
                </c:pt>
                <c:pt idx="5">
                  <c:v>8.2200000000000006</c:v>
                </c:pt>
                <c:pt idx="6">
                  <c:v>9.18</c:v>
                </c:pt>
                <c:pt idx="7">
                  <c:v>10.02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D-4094-87B5-D05621D940B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Лист1!$A$1:$A$8</c:f>
              <c:numCache>
                <c:formatCode>General</c:formatCode>
                <c:ptCount val="8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</c:numCache>
            </c:numRef>
          </c:xVal>
          <c:yVal>
            <c:numRef>
              <c:f>Лист1!$C$1:$C$8</c:f>
              <c:numCache>
                <c:formatCode>General</c:formatCode>
                <c:ptCount val="8"/>
                <c:pt idx="0">
                  <c:v>3.39</c:v>
                </c:pt>
                <c:pt idx="1">
                  <c:v>4.4800000000000004</c:v>
                </c:pt>
                <c:pt idx="2">
                  <c:v>5.53</c:v>
                </c:pt>
                <c:pt idx="3">
                  <c:v>6.69</c:v>
                </c:pt>
                <c:pt idx="4">
                  <c:v>7.63</c:v>
                </c:pt>
                <c:pt idx="5">
                  <c:v>8.65</c:v>
                </c:pt>
                <c:pt idx="6">
                  <c:v>9.5299999999999994</c:v>
                </c:pt>
                <c:pt idx="7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3D-4094-87B5-D05621D9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32319"/>
        <c:axId val="1645130879"/>
      </c:scatterChart>
      <c:valAx>
        <c:axId val="164513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30879"/>
        <c:crosses val="autoZero"/>
        <c:crossBetween val="midCat"/>
      </c:valAx>
      <c:valAx>
        <c:axId val="164513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1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</xdr:colOff>
      <xdr:row>8</xdr:row>
      <xdr:rowOff>163830</xdr:rowOff>
    </xdr:from>
    <xdr:to>
      <xdr:col>21</xdr:col>
      <xdr:colOff>335280</xdr:colOff>
      <xdr:row>23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CC59D1-2BBA-C26B-713A-5F8763703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10997B-6A8F-430C-D5BA-86F56F37E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4075D8-6783-BBAF-B6EA-D3DF6E64E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5597D2-134C-D696-3121-23B06C721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0B850B-F8BF-37C4-C937-4A3E09405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939EB1-6F2F-BEEF-1D71-7EA97E8CE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B81957-86F0-6991-25AE-1A18F9693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995E31-8FA6-F75D-6D26-89CCC767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38100</xdr:rowOff>
    </xdr:from>
    <xdr:to>
      <xdr:col>18</xdr:col>
      <xdr:colOff>106680</xdr:colOff>
      <xdr:row>23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C13103-E35F-596D-CDE3-8679954E0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FF7B-F9CD-4489-956C-B17D8852700D}">
  <dimension ref="A1:J11"/>
  <sheetViews>
    <sheetView workbookViewId="0">
      <selection activeCell="I1" sqref="I1:J6"/>
    </sheetView>
  </sheetViews>
  <sheetFormatPr defaultRowHeight="14.4" x14ac:dyDescent="0.3"/>
  <sheetData>
    <row r="1" spans="1:10" x14ac:dyDescent="0.3">
      <c r="A1" t="s">
        <v>0</v>
      </c>
      <c r="B1" t="s">
        <v>8</v>
      </c>
      <c r="C1" t="s">
        <v>9</v>
      </c>
      <c r="E1" t="s">
        <v>12</v>
      </c>
      <c r="G1" t="s">
        <v>2</v>
      </c>
      <c r="H1" t="s">
        <v>3</v>
      </c>
      <c r="I1" s="1" t="s">
        <v>10</v>
      </c>
      <c r="J1" s="1" t="s">
        <v>11</v>
      </c>
    </row>
    <row r="2" spans="1:10" x14ac:dyDescent="0.3">
      <c r="A2">
        <v>0</v>
      </c>
      <c r="B2">
        <f>2.8-2.65</f>
        <v>0.14999999999999991</v>
      </c>
      <c r="C2">
        <f>B2/1000/75*10000</f>
        <v>1.9999999999999987E-2</v>
      </c>
      <c r="E2">
        <v>1.931</v>
      </c>
      <c r="G2">
        <v>3.786</v>
      </c>
      <c r="H2">
        <v>0.3</v>
      </c>
      <c r="I2" s="1">
        <f>H2*0.917+0.02</f>
        <v>0.29510000000000003</v>
      </c>
      <c r="J2" s="1">
        <f>G2-E$2</f>
        <v>1.855</v>
      </c>
    </row>
    <row r="3" spans="1:10" x14ac:dyDescent="0.3">
      <c r="A3">
        <v>0.2</v>
      </c>
      <c r="B3">
        <f>4.1-2.6</f>
        <v>1.4999999999999996</v>
      </c>
      <c r="C3">
        <f t="shared" ref="C3:C9" si="0">B3/1000/75*10000</f>
        <v>0.19999999999999996</v>
      </c>
      <c r="G3">
        <v>5.1609999999999996</v>
      </c>
      <c r="H3">
        <v>0.6</v>
      </c>
      <c r="I3" s="1">
        <v>0.57333333333333347</v>
      </c>
      <c r="J3" s="1">
        <f t="shared" ref="J3:J5" si="1">G3-E$2</f>
        <v>3.2299999999999995</v>
      </c>
    </row>
    <row r="4" spans="1:10" x14ac:dyDescent="0.3">
      <c r="A4">
        <v>0.4</v>
      </c>
      <c r="B4">
        <f>5.5-2.6</f>
        <v>2.9</v>
      </c>
      <c r="C4">
        <f t="shared" si="0"/>
        <v>0.38666666666666666</v>
      </c>
      <c r="G4">
        <v>6.3049999999999997</v>
      </c>
      <c r="H4">
        <v>0.9</v>
      </c>
      <c r="I4" s="1">
        <v>0.85333333333333339</v>
      </c>
      <c r="J4" s="1">
        <f t="shared" si="1"/>
        <v>4.3739999999999997</v>
      </c>
    </row>
    <row r="5" spans="1:10" x14ac:dyDescent="0.3">
      <c r="A5">
        <v>0.6</v>
      </c>
      <c r="B5">
        <f>6.9-2.6</f>
        <v>4.3000000000000007</v>
      </c>
      <c r="C5">
        <f t="shared" si="0"/>
        <v>0.57333333333333347</v>
      </c>
      <c r="G5">
        <v>7.0430000000000001</v>
      </c>
      <c r="H5">
        <v>1.2</v>
      </c>
      <c r="I5" s="1">
        <f t="shared" ref="I5:I6" si="2">H5*0.917+0.02</f>
        <v>1.1204000000000001</v>
      </c>
      <c r="J5" s="1">
        <f t="shared" si="1"/>
        <v>5.1120000000000001</v>
      </c>
    </row>
    <row r="6" spans="1:10" x14ac:dyDescent="0.3">
      <c r="A6">
        <v>0.7</v>
      </c>
      <c r="B6">
        <f>7.8-2.55</f>
        <v>5.25</v>
      </c>
      <c r="C6">
        <f t="shared" si="0"/>
        <v>0.70000000000000007</v>
      </c>
      <c r="G6">
        <v>7.5010000000000003</v>
      </c>
      <c r="H6">
        <v>1.5</v>
      </c>
      <c r="I6" s="1">
        <f t="shared" si="2"/>
        <v>1.3955000000000002</v>
      </c>
      <c r="J6" s="1">
        <f>G6-E$2</f>
        <v>5.57</v>
      </c>
    </row>
    <row r="7" spans="1:10" x14ac:dyDescent="0.3">
      <c r="A7">
        <v>0.8</v>
      </c>
      <c r="B7">
        <f>8.3-2.6</f>
        <v>5.7000000000000011</v>
      </c>
      <c r="C7">
        <f t="shared" si="0"/>
        <v>0.76000000000000023</v>
      </c>
      <c r="I7">
        <v>1.855</v>
      </c>
    </row>
    <row r="8" spans="1:10" x14ac:dyDescent="0.3">
      <c r="A8">
        <v>0.9</v>
      </c>
      <c r="B8">
        <f>9-2.6</f>
        <v>6.4</v>
      </c>
      <c r="C8">
        <f t="shared" si="0"/>
        <v>0.85333333333333339</v>
      </c>
      <c r="I8">
        <v>3.2299999999999995</v>
      </c>
    </row>
    <row r="9" spans="1:10" x14ac:dyDescent="0.3">
      <c r="A9">
        <v>1</v>
      </c>
      <c r="B9">
        <f>9.45-2.6</f>
        <v>6.85</v>
      </c>
      <c r="C9">
        <f t="shared" si="0"/>
        <v>0.91333333333333322</v>
      </c>
      <c r="I9">
        <v>4.3739999999999997</v>
      </c>
    </row>
    <row r="10" spans="1:10" x14ac:dyDescent="0.3">
      <c r="I10">
        <v>5.1120000000000001</v>
      </c>
    </row>
    <row r="11" spans="1:10" x14ac:dyDescent="0.3">
      <c r="I11">
        <v>5.57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C9C0-1AD3-4F8E-AE88-F8DB13ABDD7F}">
  <dimension ref="A1:F11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2.5190000000000001</v>
      </c>
      <c r="C2">
        <v>5.0529999999999999</v>
      </c>
      <c r="D2">
        <v>0.3</v>
      </c>
      <c r="E2" s="1">
        <f>D2*0.917+0.02</f>
        <v>0.29510000000000003</v>
      </c>
      <c r="F2" s="1">
        <f>C2-A$2</f>
        <v>2.5339999999999998</v>
      </c>
    </row>
    <row r="3" spans="1:6" x14ac:dyDescent="0.3">
      <c r="C3">
        <v>6.8940000000000001</v>
      </c>
      <c r="D3">
        <v>0.6</v>
      </c>
      <c r="E3" s="1">
        <f t="shared" ref="E3:E6" si="0">D3*0.917+0.02</f>
        <v>0.57020000000000004</v>
      </c>
      <c r="F3" s="1">
        <f t="shared" ref="F3:F6" si="1">C3-A$2</f>
        <v>4.375</v>
      </c>
    </row>
    <row r="4" spans="1:6" x14ac:dyDescent="0.3">
      <c r="C4">
        <v>8.4290000000000003</v>
      </c>
      <c r="D4">
        <v>0.9</v>
      </c>
      <c r="E4" s="1">
        <f t="shared" si="0"/>
        <v>0.84530000000000005</v>
      </c>
      <c r="F4" s="1">
        <f t="shared" si="1"/>
        <v>5.91</v>
      </c>
    </row>
    <row r="5" spans="1:6" x14ac:dyDescent="0.3">
      <c r="C5">
        <v>9.375</v>
      </c>
      <c r="D5">
        <v>1.2</v>
      </c>
      <c r="E5" s="1">
        <f t="shared" si="0"/>
        <v>1.1204000000000001</v>
      </c>
      <c r="F5" s="1">
        <f t="shared" si="1"/>
        <v>6.8559999999999999</v>
      </c>
    </row>
    <row r="6" spans="1:6" x14ac:dyDescent="0.3">
      <c r="C6">
        <v>9.9689999999999994</v>
      </c>
      <c r="D6">
        <v>1.5</v>
      </c>
      <c r="E6" s="1">
        <f t="shared" si="0"/>
        <v>1.3955000000000002</v>
      </c>
      <c r="F6" s="1">
        <f t="shared" si="1"/>
        <v>7.4499999999999993</v>
      </c>
    </row>
    <row r="7" spans="1:6" x14ac:dyDescent="0.3">
      <c r="E7">
        <v>2.5339999999999998</v>
      </c>
    </row>
    <row r="8" spans="1:6" x14ac:dyDescent="0.3">
      <c r="E8">
        <v>4.375</v>
      </c>
    </row>
    <row r="9" spans="1:6" x14ac:dyDescent="0.3">
      <c r="E9">
        <v>5.91</v>
      </c>
    </row>
    <row r="10" spans="1:6" x14ac:dyDescent="0.3">
      <c r="E10">
        <v>6.8559999999999999</v>
      </c>
    </row>
    <row r="11" spans="1:6" x14ac:dyDescent="0.3">
      <c r="E11">
        <v>7.4499999999999993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B8F3-E755-417D-9761-0BC91DCC994E}">
  <dimension ref="A1:F11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3.11</v>
      </c>
      <c r="C2">
        <v>6.3479999999999999</v>
      </c>
      <c r="D2">
        <v>0.3</v>
      </c>
      <c r="E2" s="1">
        <f>D2*0.917+0.02</f>
        <v>0.29510000000000003</v>
      </c>
      <c r="F2" s="1">
        <f>C2-A$2</f>
        <v>3.238</v>
      </c>
    </row>
    <row r="3" spans="1:6" x14ac:dyDescent="0.3">
      <c r="C3">
        <v>8.5850000000000009</v>
      </c>
      <c r="D3">
        <v>0.6</v>
      </c>
      <c r="E3" s="1">
        <f t="shared" ref="E3:E6" si="0">D3*0.917+0.02</f>
        <v>0.57020000000000004</v>
      </c>
      <c r="F3" s="1">
        <f t="shared" ref="F3:F6" si="1">C3-A$2</f>
        <v>5.4750000000000014</v>
      </c>
    </row>
    <row r="4" spans="1:6" x14ac:dyDescent="0.3">
      <c r="C4">
        <v>10.605</v>
      </c>
      <c r="D4">
        <v>0.9</v>
      </c>
      <c r="E4" s="1">
        <f t="shared" si="0"/>
        <v>0.84530000000000005</v>
      </c>
      <c r="F4" s="1">
        <f t="shared" si="1"/>
        <v>7.495000000000001</v>
      </c>
    </row>
    <row r="5" spans="1:6" x14ac:dyDescent="0.3">
      <c r="C5">
        <v>11.689</v>
      </c>
      <c r="D5">
        <v>1.2</v>
      </c>
      <c r="E5" s="1">
        <f t="shared" si="0"/>
        <v>1.1204000000000001</v>
      </c>
      <c r="F5" s="1">
        <f t="shared" si="1"/>
        <v>8.5790000000000006</v>
      </c>
    </row>
    <row r="6" spans="1:6" x14ac:dyDescent="0.3">
      <c r="C6">
        <v>12.407</v>
      </c>
      <c r="D6">
        <v>1.5</v>
      </c>
      <c r="E6" s="1">
        <f t="shared" si="0"/>
        <v>1.3955000000000002</v>
      </c>
      <c r="F6" s="1">
        <f t="shared" si="1"/>
        <v>9.2970000000000006</v>
      </c>
    </row>
    <row r="7" spans="1:6" x14ac:dyDescent="0.3">
      <c r="E7">
        <v>3.238</v>
      </c>
    </row>
    <row r="8" spans="1:6" x14ac:dyDescent="0.3">
      <c r="E8">
        <v>5.4750000000000014</v>
      </c>
    </row>
    <row r="9" spans="1:6" x14ac:dyDescent="0.3">
      <c r="E9">
        <v>7.495000000000001</v>
      </c>
    </row>
    <row r="10" spans="1:6" x14ac:dyDescent="0.3">
      <c r="E10">
        <v>8.5790000000000006</v>
      </c>
    </row>
    <row r="11" spans="1:6" x14ac:dyDescent="0.3">
      <c r="E11">
        <v>9.2970000000000006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4CF6-86C3-4C03-BAD7-66E26F4F3EDE}">
  <dimension ref="A1:F11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3.7570000000000001</v>
      </c>
      <c r="C2">
        <v>7.5279999999999996</v>
      </c>
      <c r="D2">
        <v>0.3</v>
      </c>
      <c r="E2" s="1">
        <f>D2*0.917+0.02</f>
        <v>0.29510000000000003</v>
      </c>
      <c r="F2" s="1">
        <f>C2-A$2</f>
        <v>3.7709999999999995</v>
      </c>
    </row>
    <row r="3" spans="1:6" x14ac:dyDescent="0.3">
      <c r="C3">
        <v>10.32</v>
      </c>
      <c r="D3">
        <v>0.6</v>
      </c>
      <c r="E3" s="1">
        <f t="shared" ref="E3:E6" si="0">D3*0.917+0.02</f>
        <v>0.57020000000000004</v>
      </c>
      <c r="F3" s="1">
        <f t="shared" ref="F3:F6" si="1">C3-A$2</f>
        <v>6.5630000000000006</v>
      </c>
    </row>
    <row r="4" spans="1:6" x14ac:dyDescent="0.3">
      <c r="C4">
        <v>12.590999999999999</v>
      </c>
      <c r="D4">
        <v>0.9</v>
      </c>
      <c r="E4" s="1">
        <f t="shared" si="0"/>
        <v>0.84530000000000005</v>
      </c>
      <c r="F4" s="1">
        <f t="shared" si="1"/>
        <v>8.8339999999999996</v>
      </c>
    </row>
    <row r="5" spans="1:6" x14ac:dyDescent="0.3">
      <c r="C5">
        <v>14.022</v>
      </c>
      <c r="D5">
        <v>1.2</v>
      </c>
      <c r="E5" s="1">
        <f t="shared" si="0"/>
        <v>1.1204000000000001</v>
      </c>
      <c r="F5" s="1">
        <f t="shared" si="1"/>
        <v>10.265000000000001</v>
      </c>
    </row>
    <row r="6" spans="1:6" x14ac:dyDescent="0.3">
      <c r="C6">
        <v>14.88</v>
      </c>
      <c r="D6">
        <v>1.5</v>
      </c>
      <c r="E6" s="1">
        <f t="shared" si="0"/>
        <v>1.3955000000000002</v>
      </c>
      <c r="F6" s="1">
        <f t="shared" si="1"/>
        <v>11.123000000000001</v>
      </c>
    </row>
    <row r="7" spans="1:6" x14ac:dyDescent="0.3">
      <c r="E7">
        <v>3.7709999999999995</v>
      </c>
    </row>
    <row r="8" spans="1:6" x14ac:dyDescent="0.3">
      <c r="E8">
        <v>6.5630000000000006</v>
      </c>
    </row>
    <row r="9" spans="1:6" x14ac:dyDescent="0.3">
      <c r="E9">
        <v>8.8339999999999996</v>
      </c>
    </row>
    <row r="10" spans="1:6" x14ac:dyDescent="0.3">
      <c r="E10">
        <v>10.265000000000001</v>
      </c>
    </row>
    <row r="11" spans="1:6" x14ac:dyDescent="0.3">
      <c r="E11">
        <v>11.123000000000001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47CF-B864-4457-A4A6-FD50BD26A12F}">
  <dimension ref="A1:F6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4.3739999999999997</v>
      </c>
      <c r="C2">
        <v>8.7710000000000008</v>
      </c>
      <c r="D2">
        <v>0.3</v>
      </c>
      <c r="E2" s="1">
        <f>D2*0.917+0.02</f>
        <v>0.29510000000000003</v>
      </c>
      <c r="F2" s="1">
        <f>C2-A$2</f>
        <v>4.3970000000000011</v>
      </c>
    </row>
    <row r="3" spans="1:6" x14ac:dyDescent="0.3">
      <c r="C3">
        <v>12.025</v>
      </c>
      <c r="D3">
        <v>0.6</v>
      </c>
      <c r="E3" s="1">
        <f t="shared" ref="E3:E6" si="0">D3*0.917+0.02</f>
        <v>0.57020000000000004</v>
      </c>
      <c r="F3" s="1">
        <f t="shared" ref="F3:F6" si="1">C3-A$2</f>
        <v>7.6510000000000007</v>
      </c>
    </row>
    <row r="4" spans="1:6" x14ac:dyDescent="0.3">
      <c r="C4">
        <v>14.507</v>
      </c>
      <c r="D4">
        <v>0.9</v>
      </c>
      <c r="E4" s="1">
        <f t="shared" si="0"/>
        <v>0.84530000000000005</v>
      </c>
      <c r="F4" s="1">
        <f t="shared" si="1"/>
        <v>10.132999999999999</v>
      </c>
    </row>
    <row r="5" spans="1:6" x14ac:dyDescent="0.3">
      <c r="C5">
        <v>16.189</v>
      </c>
      <c r="D5">
        <v>1.2</v>
      </c>
      <c r="E5" s="1">
        <f t="shared" si="0"/>
        <v>1.1204000000000001</v>
      </c>
      <c r="F5" s="1">
        <f t="shared" si="1"/>
        <v>11.815000000000001</v>
      </c>
    </row>
    <row r="6" spans="1:6" x14ac:dyDescent="0.3">
      <c r="C6">
        <v>17.186</v>
      </c>
      <c r="D6">
        <v>1.5</v>
      </c>
      <c r="E6" s="1">
        <f t="shared" si="0"/>
        <v>1.3955000000000002</v>
      </c>
      <c r="F6" s="1">
        <f t="shared" si="1"/>
        <v>12.812000000000001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AA29-E932-4EAB-97F1-55F2332EF518}">
  <dimension ref="A1:F11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4.99</v>
      </c>
      <c r="C2">
        <v>9.984</v>
      </c>
      <c r="D2">
        <v>0.3</v>
      </c>
      <c r="E2" s="1">
        <f>D2*0.917+0.02</f>
        <v>0.29510000000000003</v>
      </c>
      <c r="F2" s="1">
        <f>C2-A$2</f>
        <v>4.9939999999999998</v>
      </c>
    </row>
    <row r="3" spans="1:6" x14ac:dyDescent="0.3">
      <c r="C3">
        <v>13.619</v>
      </c>
      <c r="D3">
        <v>0.6</v>
      </c>
      <c r="E3" s="1">
        <f t="shared" ref="E3:E6" si="0">D3*0.917+0.02</f>
        <v>0.57020000000000004</v>
      </c>
      <c r="F3" s="1">
        <f t="shared" ref="F3:F6" si="1">C3-A$2</f>
        <v>8.6289999999999996</v>
      </c>
    </row>
    <row r="4" spans="1:6" x14ac:dyDescent="0.3">
      <c r="C4">
        <v>16.515000000000001</v>
      </c>
      <c r="D4">
        <v>0.9</v>
      </c>
      <c r="E4" s="1">
        <f t="shared" si="0"/>
        <v>0.84530000000000005</v>
      </c>
      <c r="F4" s="1">
        <f t="shared" si="1"/>
        <v>11.525</v>
      </c>
    </row>
    <row r="5" spans="1:6" x14ac:dyDescent="0.3">
      <c r="C5">
        <v>18.369</v>
      </c>
      <c r="D5">
        <v>1.2</v>
      </c>
      <c r="E5" s="1">
        <f t="shared" si="0"/>
        <v>1.1204000000000001</v>
      </c>
      <c r="F5" s="1">
        <f t="shared" si="1"/>
        <v>13.379</v>
      </c>
    </row>
    <row r="6" spans="1:6" x14ac:dyDescent="0.3">
      <c r="C6">
        <v>19.507999999999999</v>
      </c>
      <c r="D6">
        <v>1.5</v>
      </c>
      <c r="E6" s="1">
        <f t="shared" si="0"/>
        <v>1.3955000000000002</v>
      </c>
      <c r="F6" s="1">
        <f t="shared" si="1"/>
        <v>14.517999999999999</v>
      </c>
    </row>
    <row r="7" spans="1:6" x14ac:dyDescent="0.3">
      <c r="E7">
        <v>4.9939999999999998</v>
      </c>
    </row>
    <row r="8" spans="1:6" x14ac:dyDescent="0.3">
      <c r="E8">
        <v>8.6289999999999996</v>
      </c>
    </row>
    <row r="9" spans="1:6" x14ac:dyDescent="0.3">
      <c r="E9">
        <v>11.525</v>
      </c>
    </row>
    <row r="10" spans="1:6" x14ac:dyDescent="0.3">
      <c r="E10">
        <v>13.379</v>
      </c>
    </row>
    <row r="11" spans="1:6" x14ac:dyDescent="0.3">
      <c r="E11">
        <v>14.517999999999999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7963-E3F3-4C58-AFA9-3404AC5F7267}">
  <dimension ref="A1:F11"/>
  <sheetViews>
    <sheetView workbookViewId="0">
      <selection activeCell="E2" sqref="E2:F6"/>
    </sheetView>
  </sheetViews>
  <sheetFormatPr defaultRowHeight="14.4" x14ac:dyDescent="0.3"/>
  <sheetData>
    <row r="1" spans="1:6" x14ac:dyDescent="0.3">
      <c r="A1" t="s">
        <v>1</v>
      </c>
      <c r="C1" t="s">
        <v>2</v>
      </c>
      <c r="D1" t="s">
        <v>3</v>
      </c>
    </row>
    <row r="2" spans="1:6" x14ac:dyDescent="0.3">
      <c r="A2">
        <v>5.6020000000000003</v>
      </c>
      <c r="C2">
        <v>11.228999999999999</v>
      </c>
      <c r="D2">
        <v>0.3</v>
      </c>
      <c r="E2" s="1">
        <f>D2*0.917+0.02</f>
        <v>0.29510000000000003</v>
      </c>
      <c r="F2" s="1">
        <f>C2-A$2</f>
        <v>5.6269999999999989</v>
      </c>
    </row>
    <row r="3" spans="1:6" x14ac:dyDescent="0.3">
      <c r="C3">
        <v>15.268000000000001</v>
      </c>
      <c r="D3">
        <v>0.6</v>
      </c>
      <c r="E3" s="1">
        <f t="shared" ref="E3:E6" si="0">D3*0.917+0.02</f>
        <v>0.57020000000000004</v>
      </c>
      <c r="F3" s="1">
        <f t="shared" ref="F3:F6" si="1">C3-A$2</f>
        <v>9.6660000000000004</v>
      </c>
    </row>
    <row r="4" spans="1:6" x14ac:dyDescent="0.3">
      <c r="C4">
        <v>18.361000000000001</v>
      </c>
      <c r="D4">
        <v>0.9</v>
      </c>
      <c r="E4" s="1">
        <f t="shared" si="0"/>
        <v>0.84530000000000005</v>
      </c>
      <c r="F4" s="1">
        <f t="shared" si="1"/>
        <v>12.759</v>
      </c>
    </row>
    <row r="5" spans="1:6" x14ac:dyDescent="0.3">
      <c r="C5">
        <v>20.481000000000002</v>
      </c>
      <c r="D5">
        <v>1.2</v>
      </c>
      <c r="E5" s="1">
        <f t="shared" si="0"/>
        <v>1.1204000000000001</v>
      </c>
      <c r="F5" s="1">
        <f t="shared" si="1"/>
        <v>14.879000000000001</v>
      </c>
    </row>
    <row r="6" spans="1:6" x14ac:dyDescent="0.3">
      <c r="C6">
        <v>21.725000000000001</v>
      </c>
      <c r="D6">
        <v>1.5</v>
      </c>
      <c r="E6" s="1">
        <f t="shared" si="0"/>
        <v>1.3955000000000002</v>
      </c>
      <c r="F6" s="1">
        <f t="shared" si="1"/>
        <v>16.123000000000001</v>
      </c>
    </row>
    <row r="7" spans="1:6" x14ac:dyDescent="0.3">
      <c r="E7">
        <v>5.6269999999999989</v>
      </c>
    </row>
    <row r="8" spans="1:6" x14ac:dyDescent="0.3">
      <c r="E8">
        <v>9.6660000000000004</v>
      </c>
    </row>
    <row r="9" spans="1:6" x14ac:dyDescent="0.3">
      <c r="E9">
        <v>12.759</v>
      </c>
    </row>
    <row r="10" spans="1:6" x14ac:dyDescent="0.3">
      <c r="E10">
        <v>14.879000000000001</v>
      </c>
    </row>
    <row r="11" spans="1:6" x14ac:dyDescent="0.3">
      <c r="E11">
        <v>16.123000000000001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98AA-EA02-4FDF-89C8-E597E9C86E6F}">
  <dimension ref="A1:L8"/>
  <sheetViews>
    <sheetView workbookViewId="0">
      <selection activeCell="E2" sqref="E2:F6"/>
    </sheetView>
  </sheetViews>
  <sheetFormatPr defaultRowHeight="14.4" x14ac:dyDescent="0.3"/>
  <sheetData>
    <row r="1" spans="1:12" x14ac:dyDescent="0.3">
      <c r="A1" t="s">
        <v>1</v>
      </c>
      <c r="C1" t="s">
        <v>2</v>
      </c>
      <c r="D1" t="s">
        <v>3</v>
      </c>
      <c r="G1" t="s">
        <v>4</v>
      </c>
      <c r="H1" t="s">
        <v>1</v>
      </c>
      <c r="J1" t="s">
        <v>2</v>
      </c>
      <c r="K1" t="s">
        <v>3</v>
      </c>
    </row>
    <row r="2" spans="1:12" x14ac:dyDescent="0.3">
      <c r="A2">
        <v>6.27</v>
      </c>
      <c r="C2">
        <v>12.417999999999999</v>
      </c>
      <c r="D2">
        <v>0.3</v>
      </c>
      <c r="E2" s="1">
        <f>D2*0.917+0.02</f>
        <v>0.29510000000000003</v>
      </c>
      <c r="F2" s="1">
        <f>C2-A$2</f>
        <v>6.1479999999999997</v>
      </c>
      <c r="H2">
        <v>5.2750000000000004</v>
      </c>
      <c r="J2">
        <v>-0.622</v>
      </c>
      <c r="K2">
        <v>0.3</v>
      </c>
      <c r="L2">
        <f>D2*0.917+0.02</f>
        <v>0.29510000000000003</v>
      </c>
    </row>
    <row r="3" spans="1:12" x14ac:dyDescent="0.3">
      <c r="C3">
        <v>16.875</v>
      </c>
      <c r="D3">
        <v>0.6</v>
      </c>
      <c r="E3" s="1">
        <f t="shared" ref="E3:E6" si="0">D3*0.917+0.02</f>
        <v>0.57020000000000004</v>
      </c>
      <c r="F3" s="1">
        <f t="shared" ref="F3:F6" si="1">C3-A$2</f>
        <v>10.605</v>
      </c>
      <c r="J3">
        <v>-4.5609999999999999</v>
      </c>
      <c r="K3">
        <v>0.6</v>
      </c>
      <c r="L3">
        <f t="shared" ref="L3:L6" si="2">D3*0.917+0.02</f>
        <v>0.57020000000000004</v>
      </c>
    </row>
    <row r="4" spans="1:12" x14ac:dyDescent="0.3">
      <c r="C4">
        <v>20.353000000000002</v>
      </c>
      <c r="D4">
        <v>0.9</v>
      </c>
      <c r="E4" s="1">
        <f t="shared" si="0"/>
        <v>0.84530000000000005</v>
      </c>
      <c r="F4" s="1">
        <f t="shared" si="1"/>
        <v>14.083000000000002</v>
      </c>
      <c r="J4">
        <v>-7.548</v>
      </c>
      <c r="K4">
        <v>0.9</v>
      </c>
      <c r="L4">
        <f t="shared" si="2"/>
        <v>0.84530000000000005</v>
      </c>
    </row>
    <row r="5" spans="1:12" x14ac:dyDescent="0.3">
      <c r="C5">
        <v>22.710999999999999</v>
      </c>
      <c r="D5">
        <v>1.2</v>
      </c>
      <c r="E5" s="1">
        <f t="shared" si="0"/>
        <v>1.1204000000000001</v>
      </c>
      <c r="F5" s="1">
        <f t="shared" si="1"/>
        <v>16.440999999999999</v>
      </c>
      <c r="J5">
        <v>-9.5960000000000001</v>
      </c>
      <c r="K5">
        <v>1.2</v>
      </c>
      <c r="L5">
        <f t="shared" si="2"/>
        <v>1.1204000000000001</v>
      </c>
    </row>
    <row r="6" spans="1:12" x14ac:dyDescent="0.3">
      <c r="C6">
        <v>23.949000000000002</v>
      </c>
      <c r="D6">
        <v>1.5</v>
      </c>
      <c r="E6" s="1">
        <f t="shared" si="0"/>
        <v>1.3955000000000002</v>
      </c>
      <c r="F6" s="1">
        <f t="shared" si="1"/>
        <v>17.679000000000002</v>
      </c>
      <c r="J6">
        <v>-10.778</v>
      </c>
      <c r="K6">
        <v>1.5</v>
      </c>
      <c r="L6">
        <f t="shared" si="2"/>
        <v>1.3955000000000002</v>
      </c>
    </row>
    <row r="8" spans="1:12" x14ac:dyDescent="0.3">
      <c r="J8" t="s">
        <v>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77BC-3407-4622-8C65-4C2EF497E5E6}">
  <dimension ref="A1:E9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14</v>
      </c>
      <c r="B1" t="s">
        <v>9</v>
      </c>
      <c r="D1" t="s">
        <v>15</v>
      </c>
      <c r="E1" t="s">
        <v>16</v>
      </c>
    </row>
    <row r="2" spans="1:5" x14ac:dyDescent="0.3">
      <c r="A2">
        <v>0</v>
      </c>
      <c r="B2">
        <v>1.9999999999999987E-2</v>
      </c>
      <c r="D2">
        <v>0.3</v>
      </c>
      <c r="E2">
        <v>3.39</v>
      </c>
    </row>
    <row r="3" spans="1:5" x14ac:dyDescent="0.3">
      <c r="A3">
        <v>0.2</v>
      </c>
      <c r="B3">
        <v>0.19999999999999996</v>
      </c>
      <c r="D3">
        <v>0.4</v>
      </c>
      <c r="E3">
        <v>4.4800000000000004</v>
      </c>
    </row>
    <row r="4" spans="1:5" x14ac:dyDescent="0.3">
      <c r="A4">
        <v>0.4</v>
      </c>
      <c r="B4">
        <v>0.38666666666666666</v>
      </c>
      <c r="D4">
        <v>0.5</v>
      </c>
      <c r="E4">
        <v>5.53</v>
      </c>
    </row>
    <row r="5" spans="1:5" x14ac:dyDescent="0.3">
      <c r="A5">
        <v>0.6</v>
      </c>
      <c r="B5">
        <v>0.57333333333333347</v>
      </c>
      <c r="D5">
        <v>0.6</v>
      </c>
      <c r="E5">
        <v>6.69</v>
      </c>
    </row>
    <row r="6" spans="1:5" x14ac:dyDescent="0.3">
      <c r="A6">
        <v>0.7</v>
      </c>
      <c r="B6">
        <v>0.70000000000000007</v>
      </c>
      <c r="D6">
        <v>0.7</v>
      </c>
      <c r="E6">
        <v>7.63</v>
      </c>
    </row>
    <row r="7" spans="1:5" x14ac:dyDescent="0.3">
      <c r="A7">
        <v>0.8</v>
      </c>
      <c r="B7">
        <v>0.76000000000000023</v>
      </c>
      <c r="D7">
        <v>0.8</v>
      </c>
      <c r="E7">
        <v>8.65</v>
      </c>
    </row>
    <row r="8" spans="1:5" x14ac:dyDescent="0.3">
      <c r="A8">
        <v>0.9</v>
      </c>
      <c r="B8">
        <v>0.85333333333333339</v>
      </c>
      <c r="D8">
        <v>0.9</v>
      </c>
      <c r="E8">
        <v>9.5299999999999994</v>
      </c>
    </row>
    <row r="9" spans="1:5" x14ac:dyDescent="0.3">
      <c r="A9">
        <v>1</v>
      </c>
      <c r="B9">
        <v>0.91333333333333322</v>
      </c>
      <c r="D9">
        <v>1</v>
      </c>
      <c r="E9">
        <v>10.5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128-7BC1-4B23-A0F7-0423F0D21D58}">
  <dimension ref="A1:A2"/>
  <sheetViews>
    <sheetView workbookViewId="0">
      <selection activeCell="E15" sqref="E15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782E-787F-4108-BE57-C9716C90233E}">
  <dimension ref="A1:C9"/>
  <sheetViews>
    <sheetView workbookViewId="0">
      <selection activeCell="C1" sqref="C1:C8"/>
    </sheetView>
  </sheetViews>
  <sheetFormatPr defaultRowHeight="14.4" x14ac:dyDescent="0.3"/>
  <sheetData>
    <row r="1" spans="1:3" x14ac:dyDescent="0.3">
      <c r="A1">
        <v>0.3</v>
      </c>
      <c r="B1">
        <v>3.14</v>
      </c>
      <c r="C1">
        <v>3.39</v>
      </c>
    </row>
    <row r="2" spans="1:3" x14ac:dyDescent="0.3">
      <c r="A2">
        <v>0.4</v>
      </c>
      <c r="B2">
        <v>4.38</v>
      </c>
      <c r="C2">
        <v>4.4800000000000004</v>
      </c>
    </row>
    <row r="3" spans="1:3" x14ac:dyDescent="0.3">
      <c r="A3">
        <v>0.5</v>
      </c>
      <c r="B3">
        <v>5.49</v>
      </c>
      <c r="C3">
        <v>5.53</v>
      </c>
    </row>
    <row r="4" spans="1:3" x14ac:dyDescent="0.3">
      <c r="A4">
        <v>0.6</v>
      </c>
      <c r="B4">
        <v>6.41</v>
      </c>
      <c r="C4">
        <v>6.69</v>
      </c>
    </row>
    <row r="5" spans="1:3" x14ac:dyDescent="0.3">
      <c r="A5">
        <v>0.7</v>
      </c>
      <c r="B5">
        <v>7.31</v>
      </c>
      <c r="C5">
        <v>7.63</v>
      </c>
    </row>
    <row r="6" spans="1:3" x14ac:dyDescent="0.3">
      <c r="A6">
        <v>0.8</v>
      </c>
      <c r="B6">
        <v>8.2200000000000006</v>
      </c>
      <c r="C6">
        <v>8.65</v>
      </c>
    </row>
    <row r="7" spans="1:3" x14ac:dyDescent="0.3">
      <c r="A7">
        <v>0.9</v>
      </c>
      <c r="B7">
        <v>9.18</v>
      </c>
      <c r="C7">
        <v>9.5299999999999994</v>
      </c>
    </row>
    <row r="8" spans="1:3" x14ac:dyDescent="0.3">
      <c r="A8">
        <v>1</v>
      </c>
      <c r="B8">
        <v>10.02</v>
      </c>
      <c r="C8">
        <v>10.5</v>
      </c>
    </row>
    <row r="9" spans="1:3" x14ac:dyDescent="0.3">
      <c r="B9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0,3 mA</vt:lpstr>
      <vt:lpstr>0,4</vt:lpstr>
      <vt:lpstr>0,5</vt:lpstr>
      <vt:lpstr>0,6</vt:lpstr>
      <vt:lpstr>0,7</vt:lpstr>
      <vt:lpstr>0,8</vt:lpstr>
      <vt:lpstr>0,9</vt:lpstr>
      <vt:lpstr>1</vt:lpstr>
      <vt:lpstr>Графики</vt:lpstr>
      <vt:lpstr>Лист9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2025-09-02T06:53:04Z</dcterms:created>
  <dcterms:modified xsi:type="dcterms:W3CDTF">2025-09-11T19:04:36Z</dcterms:modified>
</cp:coreProperties>
</file>