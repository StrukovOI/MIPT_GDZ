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3 семестр\3 4 1 и 3 4 2\"/>
    </mc:Choice>
  </mc:AlternateContent>
  <xr:revisionPtr revIDLastSave="0" documentId="13_ncr:1_{76E3CC5F-D5FA-42CF-A907-B5E96ADEB2ED}" xr6:coauthVersionLast="47" xr6:coauthVersionMax="47" xr10:uidLastSave="{00000000-0000-0000-0000-000000000000}"/>
  <bookViews>
    <workbookView xWindow="-108" yWindow="-108" windowWidth="23256" windowHeight="13896" xr2:uid="{3829743B-2A25-4D58-B82B-7010CE638545}"/>
  </bookViews>
  <sheets>
    <sheet name="Лист1" sheetId="1" r:id="rId1"/>
    <sheet name="1" sheetId="2" r:id="rId2"/>
    <sheet name="11" sheetId="3" r:id="rId3"/>
    <sheet name="1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C3" i="3"/>
  <c r="B5" i="3"/>
  <c r="C5" i="3" s="1"/>
  <c r="C3" i="4"/>
  <c r="I7" i="4"/>
  <c r="Q13" i="4"/>
  <c r="Q12" i="4"/>
  <c r="Q11" i="4"/>
  <c r="Q10" i="4"/>
  <c r="Q9" i="4"/>
  <c r="Q8" i="4"/>
  <c r="Q7" i="4"/>
  <c r="Q6" i="4"/>
  <c r="Q5" i="4"/>
  <c r="Q4" i="4"/>
  <c r="Q3" i="4"/>
  <c r="M4" i="4"/>
  <c r="M5" i="4"/>
  <c r="M6" i="4"/>
  <c r="M7" i="4"/>
  <c r="M8" i="4"/>
  <c r="M9" i="4"/>
  <c r="M10" i="4"/>
  <c r="M11" i="4"/>
  <c r="M12" i="4"/>
  <c r="M13" i="4"/>
  <c r="M3" i="4"/>
  <c r="H4" i="4"/>
  <c r="H5" i="4"/>
  <c r="H6" i="4"/>
  <c r="H7" i="4"/>
  <c r="H8" i="4"/>
  <c r="H9" i="4"/>
  <c r="H10" i="4"/>
  <c r="H11" i="4"/>
  <c r="H12" i="4"/>
  <c r="H13" i="4"/>
  <c r="H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N13" i="4"/>
  <c r="N12" i="4"/>
  <c r="N11" i="4"/>
  <c r="N10" i="4"/>
  <c r="N9" i="4"/>
  <c r="N8" i="4"/>
  <c r="N7" i="4"/>
  <c r="N6" i="4"/>
  <c r="N5" i="4"/>
  <c r="N4" i="4"/>
  <c r="N3" i="4"/>
  <c r="R13" i="4"/>
  <c r="R12" i="4"/>
  <c r="R11" i="4"/>
  <c r="R10" i="4"/>
  <c r="R9" i="4"/>
  <c r="R8" i="4"/>
  <c r="R7" i="4"/>
  <c r="R6" i="4"/>
  <c r="R5" i="4"/>
  <c r="R4" i="4"/>
  <c r="R3" i="4"/>
  <c r="I4" i="4"/>
  <c r="I5" i="4"/>
  <c r="I6" i="4"/>
  <c r="I8" i="4"/>
  <c r="I9" i="4"/>
  <c r="I10" i="4"/>
  <c r="I11" i="4"/>
  <c r="I12" i="4"/>
  <c r="I13" i="4"/>
  <c r="I3" i="4"/>
  <c r="C4" i="3"/>
  <c r="C6" i="3"/>
  <c r="C7" i="3"/>
  <c r="C8" i="3"/>
  <c r="C9" i="3"/>
  <c r="C10" i="3"/>
  <c r="C11" i="3"/>
  <c r="C12" i="3"/>
  <c r="D4" i="4"/>
  <c r="D5" i="4"/>
  <c r="D6" i="4"/>
  <c r="D7" i="4"/>
  <c r="D8" i="4"/>
  <c r="D9" i="4"/>
  <c r="D10" i="4"/>
  <c r="D11" i="4"/>
  <c r="D12" i="4"/>
  <c r="D13" i="4"/>
  <c r="D14" i="4"/>
  <c r="D15" i="4"/>
  <c r="D16" i="4"/>
  <c r="J5" i="1"/>
  <c r="J13" i="1"/>
  <c r="J2" i="1"/>
  <c r="I3" i="1"/>
  <c r="J3" i="1" s="1"/>
  <c r="I4" i="1"/>
  <c r="J4" i="1" s="1"/>
  <c r="I5" i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I14" i="1"/>
  <c r="J14" i="1" s="1"/>
  <c r="I15" i="1"/>
  <c r="J15" i="1" s="1"/>
  <c r="I16" i="1"/>
  <c r="J16" i="1" s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A5" i="1"/>
  <c r="B12" i="3"/>
  <c r="B11" i="3"/>
  <c r="B10" i="3"/>
  <c r="B9" i="3"/>
  <c r="B8" i="3"/>
  <c r="B7" i="3"/>
  <c r="B6" i="3"/>
  <c r="B4" i="3"/>
  <c r="B3" i="3"/>
</calcChain>
</file>

<file path=xl/sharedStrings.xml><?xml version="1.0" encoding="utf-8"?>
<sst xmlns="http://schemas.openxmlformats.org/spreadsheetml/2006/main" count="48" uniqueCount="22">
  <si>
    <t>графит</t>
  </si>
  <si>
    <t>I, A</t>
  </si>
  <si>
    <t>m, mg</t>
  </si>
  <si>
    <t>Wolfram</t>
  </si>
  <si>
    <t>Cu</t>
  </si>
  <si>
    <t>Al</t>
  </si>
  <si>
    <t>Калибровка</t>
  </si>
  <si>
    <t>эдс, мВ</t>
  </si>
  <si>
    <t>Период,  микросек</t>
  </si>
  <si>
    <t>Температура, С</t>
  </si>
  <si>
    <t>T, K</t>
  </si>
  <si>
    <t>t2-t_02</t>
  </si>
  <si>
    <t>1/t</t>
  </si>
  <si>
    <t>\Delta P, мН</t>
  </si>
  <si>
    <t>Ф, mWb</t>
  </si>
  <si>
    <t>Ф = 2,549 I - 0,6677</t>
  </si>
  <si>
    <t>В, Тл</t>
  </si>
  <si>
    <t>\Delta P</t>
  </si>
  <si>
    <t>B2, тл2</t>
  </si>
  <si>
    <t>B2 Тл2</t>
  </si>
  <si>
    <t>\tau_0, мкс</t>
  </si>
  <si>
    <t>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</si>
</sst>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Лист1!$G$2:$G$16</c:f>
              <c:numCache>
                <c:formatCode>0</c:formatCode>
                <c:ptCount val="15"/>
                <c:pt idx="0" formatCode="0.0">
                  <c:v>283.5</c:v>
                </c:pt>
                <c:pt idx="1">
                  <c:v>288</c:v>
                </c:pt>
                <c:pt idx="2">
                  <c:v>290</c:v>
                </c:pt>
                <c:pt idx="3">
                  <c:v>292</c:v>
                </c:pt>
                <c:pt idx="4">
                  <c:v>294</c:v>
                </c:pt>
                <c:pt idx="5">
                  <c:v>296</c:v>
                </c:pt>
                <c:pt idx="6">
                  <c:v>298</c:v>
                </c:pt>
                <c:pt idx="7">
                  <c:v>300</c:v>
                </c:pt>
                <c:pt idx="8">
                  <c:v>302</c:v>
                </c:pt>
                <c:pt idx="9">
                  <c:v>304</c:v>
                </c:pt>
                <c:pt idx="10">
                  <c:v>306</c:v>
                </c:pt>
                <c:pt idx="11">
                  <c:v>308</c:v>
                </c:pt>
                <c:pt idx="12">
                  <c:v>310</c:v>
                </c:pt>
                <c:pt idx="13">
                  <c:v>312</c:v>
                </c:pt>
                <c:pt idx="14">
                  <c:v>314</c:v>
                </c:pt>
              </c:numCache>
            </c:numRef>
          </c:xVal>
          <c:yVal>
            <c:numRef>
              <c:f>Лист1!$J$2:$J$16</c:f>
              <c:numCache>
                <c:formatCode>0.0000</c:formatCode>
                <c:ptCount val="15"/>
                <c:pt idx="0">
                  <c:v>2.7204743114316299E-2</c:v>
                </c:pt>
                <c:pt idx="1">
                  <c:v>2.855310889676043E-2</c:v>
                </c:pt>
                <c:pt idx="2">
                  <c:v>3.0011216692238725E-2</c:v>
                </c:pt>
                <c:pt idx="3">
                  <c:v>3.2849352867748496E-2</c:v>
                </c:pt>
                <c:pt idx="4">
                  <c:v>3.9671519815924136E-2</c:v>
                </c:pt>
                <c:pt idx="5">
                  <c:v>5.5407727737950711E-2</c:v>
                </c:pt>
                <c:pt idx="6">
                  <c:v>8.5492920117552829E-2</c:v>
                </c:pt>
                <c:pt idx="7">
                  <c:v>0.13021553927137872</c:v>
                </c:pt>
                <c:pt idx="8">
                  <c:v>0.17248591005722277</c:v>
                </c:pt>
                <c:pt idx="9">
                  <c:v>0.20558893520350735</c:v>
                </c:pt>
                <c:pt idx="10">
                  <c:v>0.23221386897332505</c:v>
                </c:pt>
                <c:pt idx="11">
                  <c:v>0.26274414185661349</c:v>
                </c:pt>
                <c:pt idx="12">
                  <c:v>0.29578141753244325</c:v>
                </c:pt>
                <c:pt idx="13">
                  <c:v>0.32406811782209288</c:v>
                </c:pt>
                <c:pt idx="14">
                  <c:v>0.34906706590630571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B-4ACB-A64F-43B12F0AC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553984"/>
        <c:axId val="1479555424"/>
      </c:scatterChart>
      <c:valAx>
        <c:axId val="147955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9555424"/>
        <c:crosses val="autoZero"/>
        <c:crossBetween val="midCat"/>
      </c:valAx>
      <c:valAx>
        <c:axId val="14795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955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'1'!$D$3:$D$16</c:f>
              <c:numCache>
                <c:formatCode>General</c:formatCode>
                <c:ptCount val="14"/>
                <c:pt idx="0">
                  <c:v>3</c:v>
                </c:pt>
                <c:pt idx="1">
                  <c:v>2.84</c:v>
                </c:pt>
                <c:pt idx="2">
                  <c:v>2.66</c:v>
                </c:pt>
                <c:pt idx="3">
                  <c:v>2.46</c:v>
                </c:pt>
                <c:pt idx="4">
                  <c:v>2.2999999999999998</c:v>
                </c:pt>
                <c:pt idx="5">
                  <c:v>2.1</c:v>
                </c:pt>
                <c:pt idx="6">
                  <c:v>1.86</c:v>
                </c:pt>
                <c:pt idx="7">
                  <c:v>1.6</c:v>
                </c:pt>
                <c:pt idx="8">
                  <c:v>1.3</c:v>
                </c:pt>
                <c:pt idx="9">
                  <c:v>1</c:v>
                </c:pt>
                <c:pt idx="10">
                  <c:v>0.71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</c:numCache>
            </c:numRef>
          </c:xVal>
          <c:yVal>
            <c:numRef>
              <c:f>'1'!$E$3:$E$16</c:f>
              <c:numCache>
                <c:formatCode>General</c:formatCode>
                <c:ptCount val="1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13</c:v>
                </c:pt>
                <c:pt idx="4">
                  <c:v>17</c:v>
                </c:pt>
                <c:pt idx="5">
                  <c:v>22</c:v>
                </c:pt>
                <c:pt idx="6">
                  <c:v>28</c:v>
                </c:pt>
                <c:pt idx="7">
                  <c:v>33</c:v>
                </c:pt>
                <c:pt idx="8">
                  <c:v>39</c:v>
                </c:pt>
                <c:pt idx="9">
                  <c:v>44</c:v>
                </c:pt>
                <c:pt idx="10">
                  <c:v>47</c:v>
                </c:pt>
                <c:pt idx="11">
                  <c:v>49</c:v>
                </c:pt>
                <c:pt idx="12">
                  <c:v>50</c:v>
                </c:pt>
                <c:pt idx="13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F9-41EA-83CE-7E2CA08C3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928975"/>
        <c:axId val="1963927055"/>
      </c:scatterChart>
      <c:valAx>
        <c:axId val="196392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927055"/>
        <c:crosses val="autoZero"/>
        <c:crossBetween val="midCat"/>
      </c:valAx>
      <c:valAx>
        <c:axId val="19639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92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'11'!$A$3:$A$12</c:f>
              <c:numCache>
                <c:formatCode>0.00</c:formatCode>
                <c:ptCount val="10"/>
                <c:pt idx="0">
                  <c:v>0.24</c:v>
                </c:pt>
                <c:pt idx="1">
                  <c:v>0.54</c:v>
                </c:pt>
                <c:pt idx="2">
                  <c:v>0.93</c:v>
                </c:pt>
                <c:pt idx="3">
                  <c:v>1.21</c:v>
                </c:pt>
                <c:pt idx="4">
                  <c:v>1.51</c:v>
                </c:pt>
                <c:pt idx="5">
                  <c:v>1.9</c:v>
                </c:pt>
                <c:pt idx="6">
                  <c:v>2.2000000000000002</c:v>
                </c:pt>
                <c:pt idx="7">
                  <c:v>2.5</c:v>
                </c:pt>
                <c:pt idx="8">
                  <c:v>2.8</c:v>
                </c:pt>
                <c:pt idx="9">
                  <c:v>3.02</c:v>
                </c:pt>
              </c:numCache>
            </c:numRef>
          </c:xVal>
          <c:yVal>
            <c:numRef>
              <c:f>'11'!$B$3:$B$12</c:f>
              <c:numCache>
                <c:formatCode>General</c:formatCode>
                <c:ptCount val="10"/>
                <c:pt idx="0">
                  <c:v>0.50000000000000011</c:v>
                </c:pt>
                <c:pt idx="1">
                  <c:v>1.2</c:v>
                </c:pt>
                <c:pt idx="2">
                  <c:v>2.1</c:v>
                </c:pt>
                <c:pt idx="3">
                  <c:v>2.7</c:v>
                </c:pt>
                <c:pt idx="4">
                  <c:v>3.3</c:v>
                </c:pt>
                <c:pt idx="5">
                  <c:v>4.2</c:v>
                </c:pt>
                <c:pt idx="6">
                  <c:v>4.8</c:v>
                </c:pt>
                <c:pt idx="7">
                  <c:v>5.4</c:v>
                </c:pt>
                <c:pt idx="8">
                  <c:v>5.8</c:v>
                </c:pt>
                <c:pt idx="9">
                  <c:v>6.1999999999999993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36-4F83-892E-4263B1DBE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543904"/>
        <c:axId val="1479536704"/>
      </c:scatterChart>
      <c:valAx>
        <c:axId val="14795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9536704"/>
        <c:crosses val="autoZero"/>
        <c:crossBetween val="midCat"/>
      </c:valAx>
      <c:valAx>
        <c:axId val="14795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954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'12'!$M$3:$M$13</c:f>
              <c:numCache>
                <c:formatCode>0.000</c:formatCode>
                <c:ptCount val="11"/>
                <c:pt idx="0">
                  <c:v>0.79380972159999974</c:v>
                </c:pt>
                <c:pt idx="1">
                  <c:v>0.63872064000000006</c:v>
                </c:pt>
                <c:pt idx="2">
                  <c:v>0.50047135359999995</c:v>
                </c:pt>
                <c:pt idx="3">
                  <c:v>0.38638656000000005</c:v>
                </c:pt>
                <c:pt idx="4">
                  <c:v>0.28387583999999993</c:v>
                </c:pt>
                <c:pt idx="5">
                  <c:v>0.19451628159999998</c:v>
                </c:pt>
                <c:pt idx="6">
                  <c:v>0.12616703999999998</c:v>
                </c:pt>
                <c:pt idx="7">
                  <c:v>6.9400633599999997E-2</c:v>
                </c:pt>
                <c:pt idx="8">
                  <c:v>2.1903999999999996E-2</c:v>
                </c:pt>
                <c:pt idx="9">
                  <c:v>5.4759999999999991E-3</c:v>
                </c:pt>
                <c:pt idx="10">
                  <c:v>0</c:v>
                </c:pt>
              </c:numCache>
            </c:numRef>
          </c:xVal>
          <c:yVal>
            <c:numRef>
              <c:f>'12'!$N$3:$N$13</c:f>
              <c:numCache>
                <c:formatCode>0.00</c:formatCode>
                <c:ptCount val="11"/>
                <c:pt idx="0">
                  <c:v>0</c:v>
                </c:pt>
                <c:pt idx="1">
                  <c:v>29.43</c:v>
                </c:pt>
                <c:pt idx="2">
                  <c:v>58.86</c:v>
                </c:pt>
                <c:pt idx="3">
                  <c:v>88.29</c:v>
                </c:pt>
                <c:pt idx="4">
                  <c:v>117.72</c:v>
                </c:pt>
                <c:pt idx="5">
                  <c:v>147.15</c:v>
                </c:pt>
                <c:pt idx="6">
                  <c:v>166.77</c:v>
                </c:pt>
                <c:pt idx="7">
                  <c:v>186.39000000000001</c:v>
                </c:pt>
                <c:pt idx="8">
                  <c:v>206.01000000000002</c:v>
                </c:pt>
                <c:pt idx="9">
                  <c:v>215.82000000000002</c:v>
                </c:pt>
                <c:pt idx="10">
                  <c:v>215.82000000000002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48-44BA-A850-920766996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902207"/>
        <c:axId val="2011899327"/>
      </c:scatterChart>
      <c:valAx>
        <c:axId val="201190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1899327"/>
        <c:crosses val="autoZero"/>
        <c:crossBetween val="midCat"/>
      </c:valAx>
      <c:valAx>
        <c:axId val="201189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190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</xdr:colOff>
      <xdr:row>1</xdr:row>
      <xdr:rowOff>80010</xdr:rowOff>
    </xdr:from>
    <xdr:to>
      <xdr:col>24</xdr:col>
      <xdr:colOff>586740</xdr:colOff>
      <xdr:row>28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66184EF-CBD4-0261-AD5B-0BF828FEA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190500</xdr:colOff>
      <xdr:row>4</xdr:row>
      <xdr:rowOff>110490</xdr:rowOff>
    </xdr:from>
    <xdr:to>
      <xdr:col>22</xdr:col>
      <xdr:colOff>495300</xdr:colOff>
      <xdr:row>19</xdr:row>
      <xdr:rowOff>110490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1BFDBE3-C070-5F77-B49B-478F3EEE6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464820</xdr:colOff>
      <xdr:row>2</xdr:row>
      <xdr:rowOff>106680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BBB8BF8-9D1E-0A1E-7D08-0D96F495D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16</xdr:row>
      <xdr:rowOff>41910</xdr:rowOff>
    </xdr:from>
    <xdr:to>
      <xdr:col>15</xdr:col>
      <xdr:colOff>419100</xdr:colOff>
      <xdr:row>31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376E2CD-F2EE-DD0E-CE28-3887BA7C2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B4B1-1F1B-400D-9BD8-CFAD440BC704}">
  <dimension ref="A1:J16"/>
  <sheetViews>
    <sheetView tabSelected="1" workbookViewId="0">
      <selection activeCell="J16" sqref="G1:J16"/>
    </sheetView>
  </sheetViews>
  <sheetFormatPr defaultRowHeight="14.4" x14ac:dyDescent="0.3"/>
  <sheetData>
    <row r="1" spans="1:10" x14ac:dyDescent="0.3">
      <c r="A1" t="s">
        <v>20</v>
      </c>
      <c r="C1" t="s">
        <v>9</v>
      </c>
      <c r="D1" t="s">
        <v>8</v>
      </c>
      <c r="G1" t="s">
        <v>10</v>
      </c>
      <c r="H1" t="s">
        <v>21</v>
      </c>
      <c r="I1" t="s">
        <v>11</v>
      </c>
      <c r="J1" t="s">
        <v>12</v>
      </c>
    </row>
    <row r="2" spans="1:10" x14ac:dyDescent="0.3">
      <c r="A2">
        <v>9.0449999999999999</v>
      </c>
      <c r="C2">
        <v>10.5</v>
      </c>
      <c r="D2">
        <v>10.888999999999999</v>
      </c>
      <c r="G2" s="4">
        <f>C2+273</f>
        <v>283.5</v>
      </c>
      <c r="H2" s="3">
        <v>10.888999999999999</v>
      </c>
      <c r="I2" s="3">
        <f>D2^2 - $A$2^2</f>
        <v>36.758295999999987</v>
      </c>
      <c r="J2" s="2">
        <f>1/I2</f>
        <v>2.7204743114316299E-2</v>
      </c>
    </row>
    <row r="3" spans="1:10" x14ac:dyDescent="0.3">
      <c r="C3">
        <v>15</v>
      </c>
      <c r="D3">
        <v>10.808999999999999</v>
      </c>
      <c r="G3" s="5">
        <f t="shared" ref="G3:G16" si="0">C3+273</f>
        <v>288</v>
      </c>
      <c r="H3" s="3">
        <v>10.808999999999999</v>
      </c>
      <c r="I3" s="3">
        <f t="shared" ref="I3:I16" si="1">D3^2 - $A$2^2</f>
        <v>35.022455999999977</v>
      </c>
      <c r="J3" s="2">
        <f t="shared" ref="J3:J16" si="2">1/I3</f>
        <v>2.855310889676043E-2</v>
      </c>
    </row>
    <row r="4" spans="1:10" x14ac:dyDescent="0.3">
      <c r="A4" t="s">
        <v>7</v>
      </c>
      <c r="C4">
        <v>17</v>
      </c>
      <c r="D4">
        <v>10.73</v>
      </c>
      <c r="G4" s="5">
        <f t="shared" si="0"/>
        <v>290</v>
      </c>
      <c r="H4" s="3">
        <v>10.73</v>
      </c>
      <c r="I4" s="3">
        <f t="shared" si="1"/>
        <v>33.320875000000001</v>
      </c>
      <c r="J4" s="2">
        <f t="shared" si="2"/>
        <v>3.0011216692238725E-2</v>
      </c>
    </row>
    <row r="5" spans="1:10" x14ac:dyDescent="0.3">
      <c r="A5">
        <f>0.5/24</f>
        <v>2.0833333333333332E-2</v>
      </c>
      <c r="C5">
        <v>19</v>
      </c>
      <c r="D5">
        <v>10.595000000000001</v>
      </c>
      <c r="G5" s="5">
        <f t="shared" si="0"/>
        <v>292</v>
      </c>
      <c r="H5" s="3">
        <v>10.595000000000001</v>
      </c>
      <c r="I5" s="3">
        <f t="shared" si="1"/>
        <v>30.442000000000007</v>
      </c>
      <c r="J5" s="2">
        <f t="shared" si="2"/>
        <v>3.2849352867748496E-2</v>
      </c>
    </row>
    <row r="6" spans="1:10" x14ac:dyDescent="0.3">
      <c r="C6">
        <v>21</v>
      </c>
      <c r="D6">
        <v>10.345000000000001</v>
      </c>
      <c r="G6" s="5">
        <f t="shared" si="0"/>
        <v>294</v>
      </c>
      <c r="H6" s="3">
        <v>10.345000000000001</v>
      </c>
      <c r="I6" s="3">
        <f t="shared" si="1"/>
        <v>25.207000000000008</v>
      </c>
      <c r="J6" s="2">
        <f t="shared" si="2"/>
        <v>3.9671519815924136E-2</v>
      </c>
    </row>
    <row r="7" spans="1:10" x14ac:dyDescent="0.3">
      <c r="C7">
        <v>23</v>
      </c>
      <c r="D7">
        <v>9.9930000000000003</v>
      </c>
      <c r="G7" s="5">
        <f t="shared" si="0"/>
        <v>296</v>
      </c>
      <c r="H7" s="3">
        <v>9.9930000000000003</v>
      </c>
      <c r="I7" s="3">
        <f t="shared" si="1"/>
        <v>18.048023999999998</v>
      </c>
      <c r="J7" s="2">
        <f t="shared" si="2"/>
        <v>5.5407727737950711E-2</v>
      </c>
    </row>
    <row r="8" spans="1:10" x14ac:dyDescent="0.3">
      <c r="C8">
        <v>25</v>
      </c>
      <c r="D8">
        <v>9.67</v>
      </c>
      <c r="G8" s="5">
        <f t="shared" si="0"/>
        <v>298</v>
      </c>
      <c r="H8" s="3">
        <v>9.67</v>
      </c>
      <c r="I8" s="3">
        <f t="shared" si="1"/>
        <v>11.696874999999991</v>
      </c>
      <c r="J8" s="2">
        <f t="shared" si="2"/>
        <v>8.5492920117552829E-2</v>
      </c>
    </row>
    <row r="9" spans="1:10" x14ac:dyDescent="0.3">
      <c r="C9">
        <v>27</v>
      </c>
      <c r="D9">
        <v>9.4600000000000009</v>
      </c>
      <c r="G9" s="5">
        <f t="shared" si="0"/>
        <v>300</v>
      </c>
      <c r="H9" s="3">
        <v>9.4600000000000009</v>
      </c>
      <c r="I9" s="3">
        <f t="shared" si="1"/>
        <v>7.679575000000014</v>
      </c>
      <c r="J9" s="2">
        <f t="shared" si="2"/>
        <v>0.13021553927137872</v>
      </c>
    </row>
    <row r="10" spans="1:10" x14ac:dyDescent="0.3">
      <c r="C10">
        <v>29</v>
      </c>
      <c r="D10">
        <v>9.36</v>
      </c>
      <c r="G10" s="5">
        <f t="shared" si="0"/>
        <v>302</v>
      </c>
      <c r="H10" s="3">
        <v>9.36</v>
      </c>
      <c r="I10" s="3">
        <f t="shared" si="1"/>
        <v>5.7975749999999806</v>
      </c>
      <c r="J10" s="2">
        <f t="shared" si="2"/>
        <v>0.17248591005722277</v>
      </c>
    </row>
    <row r="11" spans="1:10" x14ac:dyDescent="0.3">
      <c r="C11">
        <v>31</v>
      </c>
      <c r="D11">
        <v>9.31</v>
      </c>
      <c r="G11" s="5">
        <f t="shared" si="0"/>
        <v>304</v>
      </c>
      <c r="H11" s="3">
        <v>9.31</v>
      </c>
      <c r="I11" s="3">
        <f t="shared" si="1"/>
        <v>4.8640749999999997</v>
      </c>
      <c r="J11" s="2">
        <f t="shared" si="2"/>
        <v>0.20558893520350735</v>
      </c>
    </row>
    <row r="12" spans="1:10" x14ac:dyDescent="0.3">
      <c r="C12">
        <v>33</v>
      </c>
      <c r="D12">
        <v>9.2799999999999994</v>
      </c>
      <c r="G12" s="5">
        <f t="shared" si="0"/>
        <v>306</v>
      </c>
      <c r="H12" s="3">
        <v>9.2799999999999994</v>
      </c>
      <c r="I12" s="3">
        <f t="shared" si="1"/>
        <v>4.3063749999999885</v>
      </c>
      <c r="J12" s="2">
        <f t="shared" si="2"/>
        <v>0.23221386897332505</v>
      </c>
    </row>
    <row r="13" spans="1:10" x14ac:dyDescent="0.3">
      <c r="C13">
        <v>35</v>
      </c>
      <c r="D13">
        <v>9.2530000000000001</v>
      </c>
      <c r="G13" s="5">
        <f t="shared" si="0"/>
        <v>308</v>
      </c>
      <c r="H13" s="3">
        <v>9.2530000000000001</v>
      </c>
      <c r="I13" s="3">
        <f t="shared" si="1"/>
        <v>3.8059839999999951</v>
      </c>
      <c r="J13" s="2">
        <f t="shared" si="2"/>
        <v>0.26274414185661349</v>
      </c>
    </row>
    <row r="14" spans="1:10" x14ac:dyDescent="0.3">
      <c r="C14">
        <v>37</v>
      </c>
      <c r="D14">
        <v>9.23</v>
      </c>
      <c r="G14" s="5">
        <f t="shared" si="0"/>
        <v>310</v>
      </c>
      <c r="H14" s="3">
        <v>9.23</v>
      </c>
      <c r="I14" s="3">
        <f t="shared" si="1"/>
        <v>3.3808750000000032</v>
      </c>
      <c r="J14" s="2">
        <f t="shared" si="2"/>
        <v>0.29578141753244325</v>
      </c>
    </row>
    <row r="15" spans="1:10" x14ac:dyDescent="0.3">
      <c r="C15">
        <v>39</v>
      </c>
      <c r="D15">
        <v>9.2140000000000004</v>
      </c>
      <c r="G15" s="5">
        <f t="shared" si="0"/>
        <v>312</v>
      </c>
      <c r="H15" s="3">
        <v>9.2140000000000004</v>
      </c>
      <c r="I15" s="3">
        <f t="shared" si="1"/>
        <v>3.0857710000000083</v>
      </c>
      <c r="J15" s="2">
        <f t="shared" si="2"/>
        <v>0.32406811782209288</v>
      </c>
    </row>
    <row r="16" spans="1:10" x14ac:dyDescent="0.3">
      <c r="C16">
        <v>41</v>
      </c>
      <c r="D16">
        <v>9.202</v>
      </c>
      <c r="G16" s="5">
        <f t="shared" si="0"/>
        <v>314</v>
      </c>
      <c r="H16" s="3">
        <v>9.202</v>
      </c>
      <c r="I16" s="3">
        <f t="shared" si="1"/>
        <v>2.8647789999999986</v>
      </c>
      <c r="J16" s="2">
        <f t="shared" si="2"/>
        <v>0.34906706590630571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F924-4195-4B13-8867-BF309A565883}">
  <dimension ref="A1:N25"/>
  <sheetViews>
    <sheetView workbookViewId="0">
      <selection activeCell="D1" sqref="D1:N16"/>
    </sheetView>
  </sheetViews>
  <sheetFormatPr defaultRowHeight="14.4" x14ac:dyDescent="0.3"/>
  <sheetData>
    <row r="1" spans="1:14" x14ac:dyDescent="0.3">
      <c r="A1" t="s">
        <v>0</v>
      </c>
      <c r="D1" t="s">
        <v>0</v>
      </c>
      <c r="G1" t="s">
        <v>3</v>
      </c>
      <c r="J1" t="s">
        <v>4</v>
      </c>
      <c r="M1" t="s">
        <v>5</v>
      </c>
    </row>
    <row r="2" spans="1:14" x14ac:dyDescent="0.3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  <c r="J2" t="s">
        <v>1</v>
      </c>
      <c r="K2" t="s">
        <v>2</v>
      </c>
      <c r="M2" t="s">
        <v>1</v>
      </c>
      <c r="N2" t="s">
        <v>2</v>
      </c>
    </row>
    <row r="3" spans="1:14" x14ac:dyDescent="0.3">
      <c r="A3">
        <v>0.05</v>
      </c>
      <c r="B3">
        <v>0</v>
      </c>
      <c r="D3">
        <v>3</v>
      </c>
      <c r="E3">
        <v>0</v>
      </c>
      <c r="G3">
        <v>3.01</v>
      </c>
      <c r="H3">
        <v>0</v>
      </c>
      <c r="J3">
        <v>3.01</v>
      </c>
      <c r="K3">
        <v>0</v>
      </c>
      <c r="M3">
        <v>3.01</v>
      </c>
      <c r="N3">
        <v>0</v>
      </c>
    </row>
    <row r="4" spans="1:14" x14ac:dyDescent="0.3">
      <c r="A4">
        <v>0.1</v>
      </c>
      <c r="B4">
        <v>0</v>
      </c>
      <c r="D4">
        <v>2.84</v>
      </c>
      <c r="E4">
        <v>4</v>
      </c>
      <c r="G4">
        <v>2.7</v>
      </c>
      <c r="H4">
        <v>-23</v>
      </c>
      <c r="J4">
        <v>2.7</v>
      </c>
      <c r="K4">
        <v>4</v>
      </c>
      <c r="M4">
        <v>2.71</v>
      </c>
      <c r="N4">
        <v>-6</v>
      </c>
    </row>
    <row r="5" spans="1:14" x14ac:dyDescent="0.3">
      <c r="A5">
        <v>0.2</v>
      </c>
      <c r="B5">
        <v>0</v>
      </c>
      <c r="D5">
        <v>2.66</v>
      </c>
      <c r="E5">
        <v>8</v>
      </c>
      <c r="G5">
        <v>2.39</v>
      </c>
      <c r="H5">
        <v>-48</v>
      </c>
      <c r="J5">
        <v>2.39</v>
      </c>
      <c r="K5">
        <v>6</v>
      </c>
      <c r="M5">
        <v>2.42</v>
      </c>
      <c r="N5">
        <v>-13</v>
      </c>
    </row>
    <row r="6" spans="1:14" x14ac:dyDescent="0.3">
      <c r="A6">
        <v>0.97</v>
      </c>
      <c r="B6">
        <v>-3</v>
      </c>
      <c r="D6">
        <v>2.46</v>
      </c>
      <c r="E6">
        <v>13</v>
      </c>
      <c r="G6">
        <v>2.1</v>
      </c>
      <c r="H6">
        <v>-72</v>
      </c>
      <c r="J6">
        <v>2.1</v>
      </c>
      <c r="K6">
        <v>9</v>
      </c>
      <c r="M6">
        <v>2.11</v>
      </c>
      <c r="N6">
        <v>-20</v>
      </c>
    </row>
    <row r="7" spans="1:14" x14ac:dyDescent="0.3">
      <c r="A7">
        <v>1.27</v>
      </c>
      <c r="B7">
        <v>-6</v>
      </c>
      <c r="D7">
        <v>2.2999999999999998</v>
      </c>
      <c r="E7">
        <v>17</v>
      </c>
      <c r="G7">
        <v>1.8</v>
      </c>
      <c r="H7">
        <v>-95</v>
      </c>
      <c r="J7">
        <v>1.8</v>
      </c>
      <c r="K7">
        <v>13</v>
      </c>
      <c r="M7">
        <v>1.83</v>
      </c>
      <c r="N7">
        <v>-27</v>
      </c>
    </row>
    <row r="8" spans="1:14" x14ac:dyDescent="0.3">
      <c r="D8">
        <v>2.1</v>
      </c>
      <c r="E8">
        <v>22</v>
      </c>
      <c r="G8">
        <v>1.5</v>
      </c>
      <c r="H8">
        <v>-115</v>
      </c>
      <c r="J8">
        <v>1.49</v>
      </c>
      <c r="K8">
        <v>15</v>
      </c>
      <c r="M8">
        <v>1.54</v>
      </c>
      <c r="N8">
        <v>-33</v>
      </c>
    </row>
    <row r="9" spans="1:14" x14ac:dyDescent="0.3">
      <c r="A9">
        <v>3</v>
      </c>
      <c r="B9">
        <v>0</v>
      </c>
      <c r="D9">
        <v>1.86</v>
      </c>
      <c r="E9">
        <v>28</v>
      </c>
      <c r="G9">
        <v>1.2</v>
      </c>
      <c r="H9">
        <v>-134</v>
      </c>
      <c r="J9">
        <v>1.2</v>
      </c>
      <c r="K9">
        <v>17</v>
      </c>
      <c r="M9">
        <v>1.26</v>
      </c>
      <c r="N9">
        <v>-39</v>
      </c>
    </row>
    <row r="10" spans="1:14" x14ac:dyDescent="0.3">
      <c r="A10">
        <v>2.84</v>
      </c>
      <c r="B10">
        <v>4</v>
      </c>
      <c r="D10">
        <v>1.6</v>
      </c>
      <c r="E10">
        <v>33</v>
      </c>
      <c r="G10">
        <v>0.99</v>
      </c>
      <c r="H10">
        <v>-142</v>
      </c>
      <c r="J10">
        <v>0.89</v>
      </c>
      <c r="K10">
        <v>19</v>
      </c>
      <c r="M10">
        <v>0.99</v>
      </c>
      <c r="N10">
        <v>-42</v>
      </c>
    </row>
    <row r="11" spans="1:14" x14ac:dyDescent="0.3">
      <c r="A11">
        <v>2.66</v>
      </c>
      <c r="B11">
        <v>8</v>
      </c>
      <c r="D11">
        <v>1.3</v>
      </c>
      <c r="E11">
        <v>39</v>
      </c>
      <c r="G11">
        <v>0.7</v>
      </c>
      <c r="H11">
        <v>-154</v>
      </c>
      <c r="J11">
        <v>0.5</v>
      </c>
      <c r="K11">
        <v>21</v>
      </c>
      <c r="M11">
        <v>0.6</v>
      </c>
      <c r="N11">
        <v>-47</v>
      </c>
    </row>
    <row r="12" spans="1:14" x14ac:dyDescent="0.3">
      <c r="A12">
        <v>2.46</v>
      </c>
      <c r="B12">
        <v>13</v>
      </c>
      <c r="D12">
        <v>1</v>
      </c>
      <c r="E12">
        <v>44</v>
      </c>
      <c r="G12">
        <v>0.51</v>
      </c>
      <c r="H12">
        <v>-160</v>
      </c>
      <c r="J12">
        <v>0.25</v>
      </c>
      <c r="K12">
        <v>22</v>
      </c>
      <c r="M12">
        <v>0.3</v>
      </c>
      <c r="N12">
        <v>-50</v>
      </c>
    </row>
    <row r="13" spans="1:14" x14ac:dyDescent="0.3">
      <c r="A13">
        <v>2.2999999999999998</v>
      </c>
      <c r="B13">
        <v>17</v>
      </c>
      <c r="D13">
        <v>0.71</v>
      </c>
      <c r="E13">
        <v>47</v>
      </c>
      <c r="G13">
        <v>0</v>
      </c>
      <c r="H13">
        <v>-166</v>
      </c>
      <c r="J13">
        <v>0</v>
      </c>
      <c r="K13">
        <v>22</v>
      </c>
      <c r="M13">
        <v>0</v>
      </c>
      <c r="N13">
        <v>-50</v>
      </c>
    </row>
    <row r="14" spans="1:14" x14ac:dyDescent="0.3">
      <c r="A14">
        <v>2.2000000000000002</v>
      </c>
      <c r="B14">
        <v>19</v>
      </c>
      <c r="D14">
        <v>0.5</v>
      </c>
      <c r="E14">
        <v>49</v>
      </c>
    </row>
    <row r="15" spans="1:14" x14ac:dyDescent="0.3">
      <c r="A15">
        <v>2.1</v>
      </c>
      <c r="B15">
        <v>22</v>
      </c>
      <c r="D15">
        <v>0.2</v>
      </c>
      <c r="E15">
        <v>50</v>
      </c>
    </row>
    <row r="16" spans="1:14" x14ac:dyDescent="0.3">
      <c r="A16">
        <v>2</v>
      </c>
      <c r="B16">
        <v>25</v>
      </c>
      <c r="D16">
        <v>0</v>
      </c>
      <c r="E16">
        <v>50</v>
      </c>
    </row>
    <row r="17" spans="1:2" x14ac:dyDescent="0.3">
      <c r="A17">
        <v>1.89</v>
      </c>
      <c r="B17">
        <v>28</v>
      </c>
    </row>
    <row r="18" spans="1:2" x14ac:dyDescent="0.3">
      <c r="A18">
        <v>1.71</v>
      </c>
      <c r="B18">
        <v>31</v>
      </c>
    </row>
    <row r="19" spans="1:2" x14ac:dyDescent="0.3">
      <c r="A19">
        <v>1.6</v>
      </c>
      <c r="B19">
        <v>33</v>
      </c>
    </row>
    <row r="20" spans="1:2" x14ac:dyDescent="0.3">
      <c r="A20">
        <v>1.3</v>
      </c>
      <c r="B20">
        <v>39</v>
      </c>
    </row>
    <row r="21" spans="1:2" x14ac:dyDescent="0.3">
      <c r="A21">
        <v>1</v>
      </c>
      <c r="B21">
        <v>44</v>
      </c>
    </row>
    <row r="22" spans="1:2" x14ac:dyDescent="0.3">
      <c r="A22">
        <v>0.71</v>
      </c>
      <c r="B22">
        <v>47</v>
      </c>
    </row>
    <row r="23" spans="1:2" x14ac:dyDescent="0.3">
      <c r="A23">
        <v>0.5</v>
      </c>
      <c r="B23">
        <v>49</v>
      </c>
    </row>
    <row r="24" spans="1:2" x14ac:dyDescent="0.3">
      <c r="A24">
        <v>0.2</v>
      </c>
      <c r="B24">
        <v>50</v>
      </c>
    </row>
    <row r="25" spans="1:2" x14ac:dyDescent="0.3">
      <c r="A25">
        <v>0</v>
      </c>
      <c r="B25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37DD-61D4-46D9-8DE9-91216FF0A55A}">
  <dimension ref="A1:D12"/>
  <sheetViews>
    <sheetView workbookViewId="0">
      <selection activeCell="C3" sqref="C3"/>
    </sheetView>
  </sheetViews>
  <sheetFormatPr defaultRowHeight="14.4" x14ac:dyDescent="0.3"/>
  <sheetData>
    <row r="1" spans="1:4" x14ac:dyDescent="0.3">
      <c r="A1" t="s">
        <v>6</v>
      </c>
    </row>
    <row r="2" spans="1:4" x14ac:dyDescent="0.3">
      <c r="A2" t="s">
        <v>1</v>
      </c>
      <c r="B2" t="s">
        <v>14</v>
      </c>
      <c r="C2" t="s">
        <v>16</v>
      </c>
      <c r="D2" t="s">
        <v>15</v>
      </c>
    </row>
    <row r="3" spans="1:4" x14ac:dyDescent="0.3">
      <c r="A3" s="1">
        <v>0.24</v>
      </c>
      <c r="B3">
        <f>1.1-0.6</f>
        <v>0.50000000000000011</v>
      </c>
      <c r="C3" s="3">
        <f>B3/0.0072*0.001</f>
        <v>6.9444444444444461E-2</v>
      </c>
    </row>
    <row r="4" spans="1:4" x14ac:dyDescent="0.3">
      <c r="A4" s="1">
        <v>0.54</v>
      </c>
      <c r="B4">
        <f>1.7-0.5</f>
        <v>1.2</v>
      </c>
      <c r="C4" s="3">
        <f t="shared" ref="C4:C12" si="0">B4/0.0072*0.001</f>
        <v>0.16666666666666666</v>
      </c>
    </row>
    <row r="5" spans="1:4" x14ac:dyDescent="0.3">
      <c r="A5" s="1">
        <v>0.93</v>
      </c>
      <c r="B5">
        <f>2.4-0.3</f>
        <v>2.1</v>
      </c>
      <c r="C5" s="3">
        <f t="shared" si="0"/>
        <v>0.29166666666666669</v>
      </c>
    </row>
    <row r="6" spans="1:4" x14ac:dyDescent="0.3">
      <c r="A6" s="1">
        <v>1.21</v>
      </c>
      <c r="B6">
        <f>2.7-0</f>
        <v>2.7</v>
      </c>
      <c r="C6" s="3">
        <f t="shared" si="0"/>
        <v>0.37500000000000006</v>
      </c>
    </row>
    <row r="7" spans="1:4" x14ac:dyDescent="0.3">
      <c r="A7" s="1">
        <v>1.51</v>
      </c>
      <c r="B7">
        <f>6-2.7</f>
        <v>3.3</v>
      </c>
      <c r="C7" s="3">
        <f t="shared" si="0"/>
        <v>0.45833333333333331</v>
      </c>
    </row>
    <row r="8" spans="1:4" x14ac:dyDescent="0.3">
      <c r="A8" s="1">
        <v>1.9</v>
      </c>
      <c r="B8">
        <f>6.7-2.5</f>
        <v>4.2</v>
      </c>
      <c r="C8" s="3">
        <f t="shared" si="0"/>
        <v>0.58333333333333337</v>
      </c>
    </row>
    <row r="9" spans="1:4" x14ac:dyDescent="0.3">
      <c r="A9" s="1">
        <v>2.2000000000000002</v>
      </c>
      <c r="B9">
        <f>6.8-2</f>
        <v>4.8</v>
      </c>
      <c r="C9" s="3">
        <f t="shared" si="0"/>
        <v>0.66666666666666663</v>
      </c>
    </row>
    <row r="10" spans="1:4" x14ac:dyDescent="0.3">
      <c r="A10" s="1">
        <v>2.5</v>
      </c>
      <c r="B10">
        <f>7-1.6</f>
        <v>5.4</v>
      </c>
      <c r="C10" s="3">
        <f t="shared" si="0"/>
        <v>0.75000000000000011</v>
      </c>
    </row>
    <row r="11" spans="1:4" x14ac:dyDescent="0.3">
      <c r="A11" s="1">
        <v>2.8</v>
      </c>
      <c r="B11">
        <f>7-1.2</f>
        <v>5.8</v>
      </c>
      <c r="C11" s="3">
        <f t="shared" si="0"/>
        <v>0.80555555555555558</v>
      </c>
    </row>
    <row r="12" spans="1:4" x14ac:dyDescent="0.3">
      <c r="A12" s="1">
        <v>3.02</v>
      </c>
      <c r="B12">
        <f>7.1-0.9</f>
        <v>6.1999999999999993</v>
      </c>
      <c r="C12" s="3">
        <f t="shared" si="0"/>
        <v>0.86111111111111105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78E5-4B34-49D6-8A8F-6E6D13387402}">
  <dimension ref="A1:R16"/>
  <sheetViews>
    <sheetView workbookViewId="0">
      <selection activeCell="Q2" sqref="Q2:R13"/>
    </sheetView>
  </sheetViews>
  <sheetFormatPr defaultRowHeight="14.4" x14ac:dyDescent="0.3"/>
  <sheetData>
    <row r="1" spans="1:18" x14ac:dyDescent="0.3">
      <c r="A1" t="s">
        <v>0</v>
      </c>
      <c r="F1" t="s">
        <v>3</v>
      </c>
      <c r="K1" t="s">
        <v>4</v>
      </c>
      <c r="O1" t="s">
        <v>5</v>
      </c>
    </row>
    <row r="2" spans="1:18" x14ac:dyDescent="0.3">
      <c r="A2" t="s">
        <v>1</v>
      </c>
      <c r="B2" t="s">
        <v>2</v>
      </c>
      <c r="C2" t="s">
        <v>19</v>
      </c>
      <c r="D2" t="s">
        <v>17</v>
      </c>
      <c r="F2" t="s">
        <v>1</v>
      </c>
      <c r="G2" t="s">
        <v>2</v>
      </c>
      <c r="H2" t="s">
        <v>18</v>
      </c>
      <c r="I2" t="s">
        <v>13</v>
      </c>
      <c r="K2" t="s">
        <v>1</v>
      </c>
      <c r="L2" t="s">
        <v>2</v>
      </c>
      <c r="M2" t="s">
        <v>18</v>
      </c>
      <c r="N2" t="s">
        <v>13</v>
      </c>
      <c r="O2" t="s">
        <v>1</v>
      </c>
      <c r="P2" t="s">
        <v>2</v>
      </c>
      <c r="Q2" t="s">
        <v>18</v>
      </c>
      <c r="R2" t="s">
        <v>13</v>
      </c>
    </row>
    <row r="3" spans="1:18" x14ac:dyDescent="0.3">
      <c r="A3" s="1">
        <v>3</v>
      </c>
      <c r="B3">
        <v>0</v>
      </c>
      <c r="C3" s="2">
        <f>(0.296*A3)^2</f>
        <v>0.7885439999999998</v>
      </c>
      <c r="D3" s="1">
        <f>B3*9.81</f>
        <v>0</v>
      </c>
      <c r="F3" s="1">
        <v>3.01</v>
      </c>
      <c r="G3">
        <v>0</v>
      </c>
      <c r="H3" s="3">
        <f>(0.296*F3)^2</f>
        <v>0.79380972159999974</v>
      </c>
      <c r="I3" s="1">
        <f>-G3*9.81</f>
        <v>0</v>
      </c>
      <c r="K3" s="1">
        <v>3.01</v>
      </c>
      <c r="L3">
        <v>0</v>
      </c>
      <c r="M3" s="3">
        <f>(0.296*K3)^2</f>
        <v>0.79380972159999974</v>
      </c>
      <c r="N3" s="1">
        <f>L3*9.81</f>
        <v>0</v>
      </c>
      <c r="O3" s="1">
        <v>3.01</v>
      </c>
      <c r="P3">
        <v>0</v>
      </c>
      <c r="Q3" s="3">
        <f>(0.296*O3)^2</f>
        <v>0.79380972159999974</v>
      </c>
      <c r="R3" s="1">
        <f>-P3*9.81</f>
        <v>0</v>
      </c>
    </row>
    <row r="4" spans="1:18" x14ac:dyDescent="0.3">
      <c r="A4" s="1">
        <v>2.84</v>
      </c>
      <c r="B4">
        <v>4</v>
      </c>
      <c r="C4" s="2">
        <f t="shared" ref="C4:C16" si="0">(0.296*A4)^2</f>
        <v>0.70667560959999987</v>
      </c>
      <c r="D4" s="1">
        <f t="shared" ref="D4:D16" si="1">B4*9.81</f>
        <v>39.24</v>
      </c>
      <c r="F4" s="1">
        <v>2.7</v>
      </c>
      <c r="G4">
        <v>-23</v>
      </c>
      <c r="H4" s="3">
        <f t="shared" ref="H4:H13" si="2">(0.296*F4)^2</f>
        <v>0.63872064000000006</v>
      </c>
      <c r="I4" s="1">
        <f t="shared" ref="I4:I13" si="3">-G4*9.81</f>
        <v>225.63000000000002</v>
      </c>
      <c r="K4" s="1">
        <v>2.7</v>
      </c>
      <c r="L4">
        <v>3</v>
      </c>
      <c r="M4" s="3">
        <f t="shared" ref="M4:M13" si="4">(0.296*K4)^2</f>
        <v>0.63872064000000006</v>
      </c>
      <c r="N4" s="1">
        <f t="shared" ref="N4:N13" si="5">L4*9.81</f>
        <v>29.43</v>
      </c>
      <c r="O4" s="1">
        <v>2.71</v>
      </c>
      <c r="P4">
        <v>-6</v>
      </c>
      <c r="Q4" s="3">
        <f t="shared" ref="Q4:Q13" si="6">(0.296*O4)^2</f>
        <v>0.64346066559999993</v>
      </c>
      <c r="R4" s="1">
        <f t="shared" ref="R4:R13" si="7">-P4*9.81</f>
        <v>58.86</v>
      </c>
    </row>
    <row r="5" spans="1:18" x14ac:dyDescent="0.3">
      <c r="A5" s="1">
        <v>2.66</v>
      </c>
      <c r="B5">
        <v>8</v>
      </c>
      <c r="C5" s="2">
        <f t="shared" si="0"/>
        <v>0.61993576959999996</v>
      </c>
      <c r="D5" s="1">
        <f t="shared" si="1"/>
        <v>78.48</v>
      </c>
      <c r="F5" s="1">
        <v>2.39</v>
      </c>
      <c r="G5">
        <v>-48</v>
      </c>
      <c r="H5" s="3">
        <f t="shared" si="2"/>
        <v>0.50047135359999995</v>
      </c>
      <c r="I5" s="1">
        <f t="shared" si="3"/>
        <v>470.88</v>
      </c>
      <c r="K5" s="1">
        <v>2.39</v>
      </c>
      <c r="L5">
        <v>6</v>
      </c>
      <c r="M5" s="3">
        <f t="shared" si="4"/>
        <v>0.50047135359999995</v>
      </c>
      <c r="N5" s="1">
        <f t="shared" si="5"/>
        <v>58.86</v>
      </c>
      <c r="O5" s="1">
        <v>2.42</v>
      </c>
      <c r="P5">
        <v>-13</v>
      </c>
      <c r="Q5" s="3">
        <f t="shared" si="6"/>
        <v>0.51311434239999998</v>
      </c>
      <c r="R5" s="1">
        <f t="shared" si="7"/>
        <v>127.53</v>
      </c>
    </row>
    <row r="6" spans="1:18" x14ac:dyDescent="0.3">
      <c r="A6" s="1">
        <v>2.46</v>
      </c>
      <c r="B6">
        <v>13</v>
      </c>
      <c r="C6" s="2">
        <f t="shared" si="0"/>
        <v>0.53021698559999986</v>
      </c>
      <c r="D6" s="1">
        <f t="shared" si="1"/>
        <v>127.53</v>
      </c>
      <c r="F6" s="1">
        <v>2.1</v>
      </c>
      <c r="G6">
        <v>-72</v>
      </c>
      <c r="H6" s="3">
        <f t="shared" si="2"/>
        <v>0.38638656000000005</v>
      </c>
      <c r="I6" s="1">
        <f t="shared" si="3"/>
        <v>706.32</v>
      </c>
      <c r="K6" s="1">
        <v>2.1</v>
      </c>
      <c r="L6">
        <v>9</v>
      </c>
      <c r="M6" s="3">
        <f t="shared" si="4"/>
        <v>0.38638656000000005</v>
      </c>
      <c r="N6" s="1">
        <f t="shared" si="5"/>
        <v>88.29</v>
      </c>
      <c r="O6" s="1">
        <v>2.11</v>
      </c>
      <c r="P6">
        <v>-20</v>
      </c>
      <c r="Q6" s="3">
        <f t="shared" si="6"/>
        <v>0.39007519359999987</v>
      </c>
      <c r="R6" s="1">
        <f t="shared" si="7"/>
        <v>196.20000000000002</v>
      </c>
    </row>
    <row r="7" spans="1:18" x14ac:dyDescent="0.3">
      <c r="A7" s="1">
        <v>2.2999999999999998</v>
      </c>
      <c r="B7">
        <v>17</v>
      </c>
      <c r="C7" s="2">
        <f t="shared" si="0"/>
        <v>0.46348863999999995</v>
      </c>
      <c r="D7" s="1">
        <f t="shared" si="1"/>
        <v>166.77</v>
      </c>
      <c r="F7" s="1">
        <v>1.8</v>
      </c>
      <c r="G7">
        <v>-95</v>
      </c>
      <c r="H7" s="3">
        <f t="shared" si="2"/>
        <v>0.28387583999999993</v>
      </c>
      <c r="I7" s="1">
        <f>-G7*9.81</f>
        <v>931.95</v>
      </c>
      <c r="K7" s="1">
        <v>1.8</v>
      </c>
      <c r="L7">
        <v>12</v>
      </c>
      <c r="M7" s="3">
        <f t="shared" si="4"/>
        <v>0.28387583999999993</v>
      </c>
      <c r="N7" s="1">
        <f t="shared" si="5"/>
        <v>117.72</v>
      </c>
      <c r="O7" s="1">
        <v>1.83</v>
      </c>
      <c r="P7">
        <v>-27</v>
      </c>
      <c r="Q7" s="3">
        <f t="shared" si="6"/>
        <v>0.29341722239999996</v>
      </c>
      <c r="R7" s="1">
        <f t="shared" si="7"/>
        <v>264.87</v>
      </c>
    </row>
    <row r="8" spans="1:18" x14ac:dyDescent="0.3">
      <c r="A8" s="1">
        <v>2.1</v>
      </c>
      <c r="B8">
        <v>22</v>
      </c>
      <c r="C8" s="2">
        <f t="shared" si="0"/>
        <v>0.38638656000000005</v>
      </c>
      <c r="D8" s="1">
        <f t="shared" si="1"/>
        <v>215.82000000000002</v>
      </c>
      <c r="F8" s="1">
        <v>1.5</v>
      </c>
      <c r="G8">
        <v>-115</v>
      </c>
      <c r="H8" s="3">
        <f t="shared" si="2"/>
        <v>0.19713599999999995</v>
      </c>
      <c r="I8" s="1">
        <f t="shared" si="3"/>
        <v>1128.1500000000001</v>
      </c>
      <c r="K8" s="1">
        <v>1.49</v>
      </c>
      <c r="L8">
        <v>15</v>
      </c>
      <c r="M8" s="3">
        <f t="shared" si="4"/>
        <v>0.19451628159999998</v>
      </c>
      <c r="N8" s="1">
        <f t="shared" si="5"/>
        <v>147.15</v>
      </c>
      <c r="O8" s="1">
        <v>1.54</v>
      </c>
      <c r="P8">
        <v>-33</v>
      </c>
      <c r="Q8" s="3">
        <f t="shared" si="6"/>
        <v>0.20779010559999997</v>
      </c>
      <c r="R8" s="1">
        <f t="shared" si="7"/>
        <v>323.73</v>
      </c>
    </row>
    <row r="9" spans="1:18" x14ac:dyDescent="0.3">
      <c r="A9" s="1">
        <v>1.86</v>
      </c>
      <c r="B9">
        <v>28</v>
      </c>
      <c r="C9" s="2">
        <f t="shared" si="0"/>
        <v>0.30311631360000008</v>
      </c>
      <c r="D9" s="1">
        <f t="shared" si="1"/>
        <v>274.68</v>
      </c>
      <c r="F9" s="1">
        <v>1.2</v>
      </c>
      <c r="G9">
        <v>-134</v>
      </c>
      <c r="H9" s="3">
        <f t="shared" si="2"/>
        <v>0.12616703999999998</v>
      </c>
      <c r="I9" s="1">
        <f t="shared" si="3"/>
        <v>1314.54</v>
      </c>
      <c r="K9" s="1">
        <v>1.2</v>
      </c>
      <c r="L9">
        <v>17</v>
      </c>
      <c r="M9" s="3">
        <f t="shared" si="4"/>
        <v>0.12616703999999998</v>
      </c>
      <c r="N9" s="1">
        <f t="shared" si="5"/>
        <v>166.77</v>
      </c>
      <c r="O9" s="1">
        <v>1.26</v>
      </c>
      <c r="P9">
        <v>-39</v>
      </c>
      <c r="Q9" s="3">
        <f t="shared" si="6"/>
        <v>0.13909916159999997</v>
      </c>
      <c r="R9" s="1">
        <f t="shared" si="7"/>
        <v>382.59000000000003</v>
      </c>
    </row>
    <row r="10" spans="1:18" x14ac:dyDescent="0.3">
      <c r="A10" s="1">
        <v>1.6</v>
      </c>
      <c r="B10">
        <v>33</v>
      </c>
      <c r="C10" s="2">
        <f t="shared" si="0"/>
        <v>0.22429696000000002</v>
      </c>
      <c r="D10" s="1">
        <f t="shared" si="1"/>
        <v>323.73</v>
      </c>
      <c r="F10" s="1">
        <v>0.99</v>
      </c>
      <c r="G10">
        <v>-142</v>
      </c>
      <c r="H10" s="3">
        <f t="shared" si="2"/>
        <v>8.5872441599999974E-2</v>
      </c>
      <c r="I10" s="1">
        <f t="shared" si="3"/>
        <v>1393.02</v>
      </c>
      <c r="K10" s="1">
        <v>0.89</v>
      </c>
      <c r="L10">
        <v>19</v>
      </c>
      <c r="M10" s="3">
        <f t="shared" si="4"/>
        <v>6.9400633599999997E-2</v>
      </c>
      <c r="N10" s="1">
        <f t="shared" si="5"/>
        <v>186.39000000000001</v>
      </c>
      <c r="O10" s="1">
        <v>0.99</v>
      </c>
      <c r="P10">
        <v>-42</v>
      </c>
      <c r="Q10" s="3">
        <f t="shared" si="6"/>
        <v>8.5872441599999974E-2</v>
      </c>
      <c r="R10" s="1">
        <f t="shared" si="7"/>
        <v>412.02000000000004</v>
      </c>
    </row>
    <row r="11" spans="1:18" x14ac:dyDescent="0.3">
      <c r="A11" s="1">
        <v>1.3</v>
      </c>
      <c r="B11">
        <v>39</v>
      </c>
      <c r="C11" s="2">
        <f t="shared" si="0"/>
        <v>0.14807103999999999</v>
      </c>
      <c r="D11" s="1">
        <f t="shared" si="1"/>
        <v>382.59000000000003</v>
      </c>
      <c r="F11" s="1">
        <v>0.7</v>
      </c>
      <c r="G11">
        <v>-154</v>
      </c>
      <c r="H11" s="3">
        <f t="shared" si="2"/>
        <v>4.2931839999999985E-2</v>
      </c>
      <c r="I11" s="1">
        <f t="shared" si="3"/>
        <v>1510.74</v>
      </c>
      <c r="K11" s="1">
        <v>0.5</v>
      </c>
      <c r="L11">
        <v>21</v>
      </c>
      <c r="M11" s="3">
        <f t="shared" si="4"/>
        <v>2.1903999999999996E-2</v>
      </c>
      <c r="N11" s="1">
        <f t="shared" si="5"/>
        <v>206.01000000000002</v>
      </c>
      <c r="O11" s="1">
        <v>0.6</v>
      </c>
      <c r="P11">
        <v>-47</v>
      </c>
      <c r="Q11" s="3">
        <f t="shared" si="6"/>
        <v>3.1541759999999995E-2</v>
      </c>
      <c r="R11" s="1">
        <f t="shared" si="7"/>
        <v>461.07000000000005</v>
      </c>
    </row>
    <row r="12" spans="1:18" x14ac:dyDescent="0.3">
      <c r="A12" s="1">
        <v>1</v>
      </c>
      <c r="B12">
        <v>44</v>
      </c>
      <c r="C12" s="2">
        <f t="shared" si="0"/>
        <v>8.7615999999999986E-2</v>
      </c>
      <c r="D12" s="1">
        <f t="shared" si="1"/>
        <v>431.64000000000004</v>
      </c>
      <c r="F12" s="1">
        <v>0.51</v>
      </c>
      <c r="G12">
        <v>-160</v>
      </c>
      <c r="H12" s="3">
        <f t="shared" si="2"/>
        <v>2.2788921599999994E-2</v>
      </c>
      <c r="I12" s="1">
        <f t="shared" si="3"/>
        <v>1569.6000000000001</v>
      </c>
      <c r="K12" s="1">
        <v>0.25</v>
      </c>
      <c r="L12">
        <v>22</v>
      </c>
      <c r="M12" s="3">
        <f t="shared" si="4"/>
        <v>5.4759999999999991E-3</v>
      </c>
      <c r="N12" s="1">
        <f t="shared" si="5"/>
        <v>215.82000000000002</v>
      </c>
      <c r="O12" s="1">
        <v>0.3</v>
      </c>
      <c r="P12">
        <v>-50</v>
      </c>
      <c r="Q12" s="3">
        <f t="shared" si="6"/>
        <v>7.8854399999999988E-3</v>
      </c>
      <c r="R12" s="1">
        <f t="shared" si="7"/>
        <v>490.5</v>
      </c>
    </row>
    <row r="13" spans="1:18" x14ac:dyDescent="0.3">
      <c r="A13" s="1">
        <v>0.71</v>
      </c>
      <c r="B13">
        <v>47</v>
      </c>
      <c r="C13" s="2">
        <f t="shared" si="0"/>
        <v>4.4167225599999992E-2</v>
      </c>
      <c r="D13" s="1">
        <f t="shared" si="1"/>
        <v>461.07000000000005</v>
      </c>
      <c r="F13" s="1">
        <v>0</v>
      </c>
      <c r="G13">
        <v>-166</v>
      </c>
      <c r="H13" s="3">
        <f t="shared" si="2"/>
        <v>0</v>
      </c>
      <c r="I13" s="1">
        <f t="shared" si="3"/>
        <v>1628.46</v>
      </c>
      <c r="K13" s="1">
        <v>0</v>
      </c>
      <c r="L13">
        <v>22</v>
      </c>
      <c r="M13" s="3">
        <f t="shared" si="4"/>
        <v>0</v>
      </c>
      <c r="N13" s="1">
        <f t="shared" si="5"/>
        <v>215.82000000000002</v>
      </c>
      <c r="O13" s="1">
        <v>0</v>
      </c>
      <c r="P13">
        <v>-50</v>
      </c>
      <c r="Q13" s="3">
        <f t="shared" si="6"/>
        <v>0</v>
      </c>
      <c r="R13" s="1">
        <f t="shared" si="7"/>
        <v>490.5</v>
      </c>
    </row>
    <row r="14" spans="1:18" x14ac:dyDescent="0.3">
      <c r="A14" s="1">
        <v>0.5</v>
      </c>
      <c r="B14">
        <v>49</v>
      </c>
      <c r="C14" s="2">
        <f t="shared" si="0"/>
        <v>2.1903999999999996E-2</v>
      </c>
      <c r="D14" s="1">
        <f t="shared" si="1"/>
        <v>480.69</v>
      </c>
    </row>
    <row r="15" spans="1:18" x14ac:dyDescent="0.3">
      <c r="A15" s="1">
        <v>0.2</v>
      </c>
      <c r="B15">
        <v>50</v>
      </c>
      <c r="C15" s="2">
        <f t="shared" si="0"/>
        <v>3.5046400000000003E-3</v>
      </c>
      <c r="D15" s="1">
        <f t="shared" si="1"/>
        <v>490.5</v>
      </c>
    </row>
    <row r="16" spans="1:18" x14ac:dyDescent="0.3">
      <c r="A16" s="1">
        <v>0</v>
      </c>
      <c r="B16">
        <v>50</v>
      </c>
      <c r="C16" s="2">
        <f t="shared" si="0"/>
        <v>0</v>
      </c>
      <c r="D16" s="1">
        <f t="shared" si="1"/>
        <v>490.5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1</vt:lpstr>
      <vt:lpstr>11</vt:lpstr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2025-09-30T05:58:31Z</dcterms:created>
  <dcterms:modified xsi:type="dcterms:W3CDTF">2025-10-01T21:05:48Z</dcterms:modified>
</cp:coreProperties>
</file>