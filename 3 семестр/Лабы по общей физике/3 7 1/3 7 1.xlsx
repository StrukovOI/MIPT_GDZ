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drawings/drawing4.xml" ContentType="application/vnd.openxmlformats-officedocument.drawing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5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6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olezh\OneDrive\Рабочий стол\Лабы\3 семестр\3 7 1\"/>
    </mc:Choice>
  </mc:AlternateContent>
  <xr:revisionPtr revIDLastSave="0" documentId="13_ncr:1_{0ECC4C1B-37B9-4549-A649-40FC6227B993}" xr6:coauthVersionLast="47" xr6:coauthVersionMax="47" xr10:uidLastSave="{00000000-0000-0000-0000-000000000000}"/>
  <bookViews>
    <workbookView xWindow="-108" yWindow="-108" windowWidth="23256" windowHeight="13896" activeTab="5" xr2:uid="{F95C0752-98E9-4C01-B042-3FE0616A8614}"/>
  </bookViews>
  <sheets>
    <sheet name="Лист1" sheetId="1" r:id="rId1"/>
    <sheet name="Лист2" sheetId="2" r:id="rId2"/>
    <sheet name="RLC" sheetId="3" r:id="rId3"/>
    <sheet name="Лист3" sheetId="4" r:id="rId4"/>
    <sheet name="Лист4" sheetId="5" r:id="rId5"/>
    <sheet name="Лист5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3" i="6" l="1"/>
  <c r="B4" i="6"/>
  <c r="B5" i="6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2" i="6"/>
  <c r="N2" i="4"/>
  <c r="M42" i="4"/>
  <c r="L42" i="4"/>
  <c r="M41" i="4"/>
  <c r="L41" i="4"/>
  <c r="M40" i="4"/>
  <c r="L40" i="4"/>
  <c r="M39" i="4"/>
  <c r="L39" i="4"/>
  <c r="M38" i="4"/>
  <c r="L38" i="4"/>
  <c r="M37" i="4"/>
  <c r="L37" i="4"/>
  <c r="M36" i="4"/>
  <c r="L36" i="4"/>
  <c r="M35" i="4"/>
  <c r="L35" i="4"/>
  <c r="M34" i="4"/>
  <c r="L34" i="4"/>
  <c r="M33" i="4"/>
  <c r="L33" i="4"/>
  <c r="M32" i="4"/>
  <c r="L32" i="4"/>
  <c r="M31" i="4"/>
  <c r="L31" i="4"/>
  <c r="M30" i="4"/>
  <c r="L30" i="4"/>
  <c r="M29" i="4"/>
  <c r="L29" i="4"/>
  <c r="M28" i="4"/>
  <c r="L28" i="4"/>
  <c r="M27" i="4"/>
  <c r="L27" i="4"/>
  <c r="M26" i="4"/>
  <c r="L26" i="4"/>
  <c r="M25" i="4"/>
  <c r="L25" i="4"/>
  <c r="M24" i="4"/>
  <c r="L24" i="4"/>
  <c r="M23" i="4"/>
  <c r="L23" i="4"/>
  <c r="M22" i="4"/>
  <c r="L22" i="4"/>
  <c r="M21" i="4"/>
  <c r="L21" i="4"/>
  <c r="M20" i="4"/>
  <c r="L20" i="4"/>
  <c r="M19" i="4"/>
  <c r="L19" i="4"/>
  <c r="M18" i="4"/>
  <c r="L18" i="4"/>
  <c r="M17" i="4"/>
  <c r="L17" i="4"/>
  <c r="M16" i="4"/>
  <c r="L16" i="4"/>
  <c r="M15" i="4"/>
  <c r="L15" i="4"/>
  <c r="M14" i="4"/>
  <c r="L14" i="4"/>
  <c r="M13" i="4"/>
  <c r="L13" i="4"/>
  <c r="M12" i="4"/>
  <c r="L12" i="4"/>
  <c r="M11" i="4"/>
  <c r="L11" i="4"/>
  <c r="M10" i="4"/>
  <c r="L10" i="4"/>
  <c r="M9" i="4"/>
  <c r="L9" i="4"/>
  <c r="M8" i="4"/>
  <c r="L8" i="4"/>
  <c r="M7" i="4"/>
  <c r="L7" i="4"/>
  <c r="M6" i="4"/>
  <c r="L6" i="4"/>
  <c r="M5" i="4"/>
  <c r="L5" i="4"/>
  <c r="M4" i="4"/>
  <c r="L4" i="4"/>
  <c r="M3" i="4"/>
  <c r="L3" i="4"/>
  <c r="M2" i="4"/>
  <c r="L2" i="4"/>
  <c r="D15" i="4"/>
  <c r="E15" i="4"/>
  <c r="D16" i="4"/>
  <c r="E16" i="4"/>
  <c r="D17" i="4"/>
  <c r="E17" i="4"/>
  <c r="D18" i="4"/>
  <c r="E18" i="4"/>
  <c r="D19" i="4"/>
  <c r="E19" i="4"/>
  <c r="D20" i="4"/>
  <c r="E20" i="4"/>
  <c r="D21" i="4"/>
  <c r="E21" i="4"/>
  <c r="D22" i="4"/>
  <c r="E22" i="4"/>
  <c r="D23" i="4"/>
  <c r="E23" i="4"/>
  <c r="D24" i="4"/>
  <c r="E24" i="4"/>
  <c r="D25" i="4"/>
  <c r="E25" i="4"/>
  <c r="D26" i="4"/>
  <c r="E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3" i="4"/>
  <c r="D4" i="4"/>
  <c r="D5" i="4"/>
  <c r="D6" i="4"/>
  <c r="D7" i="4"/>
  <c r="D8" i="4"/>
  <c r="D9" i="4"/>
  <c r="D10" i="4"/>
  <c r="D11" i="4"/>
  <c r="D12" i="4"/>
  <c r="D13" i="4"/>
  <c r="D14" i="4"/>
  <c r="D2" i="4"/>
  <c r="E3" i="4"/>
  <c r="E4" i="4"/>
  <c r="E5" i="4"/>
  <c r="E6" i="4"/>
  <c r="E7" i="4"/>
  <c r="E8" i="4"/>
  <c r="E9" i="4"/>
  <c r="E10" i="4"/>
  <c r="E11" i="4"/>
  <c r="E12" i="4"/>
  <c r="E13" i="4"/>
  <c r="E14" i="4"/>
  <c r="E27" i="4"/>
  <c r="E28" i="4"/>
  <c r="E29" i="4"/>
  <c r="E30" i="4"/>
  <c r="E31" i="4"/>
  <c r="E32" i="4"/>
  <c r="E33" i="4"/>
  <c r="E34" i="4"/>
  <c r="E35" i="4"/>
  <c r="E36" i="4"/>
  <c r="E37" i="4"/>
  <c r="E38" i="4"/>
  <c r="E39" i="4"/>
  <c r="E40" i="4"/>
  <c r="E41" i="4"/>
  <c r="E42" i="4"/>
  <c r="E43" i="4"/>
  <c r="E2" i="4"/>
  <c r="D10" i="3"/>
  <c r="D8" i="3"/>
  <c r="D3" i="3"/>
  <c r="D2" i="3"/>
  <c r="D4" i="3"/>
  <c r="D5" i="3"/>
  <c r="D6" i="3"/>
  <c r="D7" i="3"/>
  <c r="D9" i="3"/>
  <c r="D11" i="3"/>
  <c r="D12" i="3"/>
  <c r="D13" i="3"/>
  <c r="D14" i="3"/>
  <c r="D15" i="3"/>
  <c r="D16" i="3"/>
  <c r="C3" i="3"/>
  <c r="C4" i="3"/>
  <c r="C5" i="3"/>
  <c r="C6" i="3"/>
  <c r="C7" i="3"/>
  <c r="C8" i="3"/>
  <c r="C9" i="3"/>
  <c r="C10" i="3"/>
  <c r="C11" i="3"/>
  <c r="C12" i="3"/>
  <c r="C13" i="3"/>
  <c r="C14" i="3"/>
  <c r="C15" i="3"/>
  <c r="C16" i="3"/>
  <c r="C2" i="3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2" i="2"/>
  <c r="T3" i="1"/>
  <c r="T4" i="1"/>
  <c r="T5" i="1"/>
  <c r="T6" i="1"/>
  <c r="T7" i="1"/>
  <c r="T8" i="1"/>
  <c r="T9" i="1"/>
  <c r="T10" i="1"/>
  <c r="T11" i="1"/>
  <c r="T12" i="1"/>
  <c r="T13" i="1"/>
  <c r="T14" i="1"/>
  <c r="T15" i="1"/>
  <c r="T2" i="1"/>
  <c r="F13" i="1"/>
  <c r="F14" i="1"/>
  <c r="E13" i="1"/>
  <c r="E14" i="1"/>
  <c r="D13" i="1"/>
  <c r="D14" i="1"/>
  <c r="F12" i="1"/>
  <c r="D12" i="1"/>
  <c r="E12" i="1"/>
  <c r="F4" i="1"/>
  <c r="F5" i="1"/>
  <c r="F6" i="1"/>
  <c r="F7" i="1"/>
  <c r="F8" i="1"/>
  <c r="F9" i="1"/>
  <c r="E3" i="1"/>
  <c r="E4" i="1"/>
  <c r="E5" i="1"/>
  <c r="E6" i="1"/>
  <c r="E7" i="1"/>
  <c r="E8" i="1"/>
  <c r="E9" i="1"/>
  <c r="E10" i="1"/>
  <c r="E11" i="1"/>
  <c r="E2" i="1"/>
  <c r="D2" i="1"/>
  <c r="F2" i="1" s="1"/>
  <c r="D11" i="1"/>
  <c r="F11" i="1" s="1"/>
  <c r="D3" i="1"/>
  <c r="F3" i="1" s="1"/>
  <c r="D4" i="1"/>
  <c r="D5" i="1"/>
  <c r="D6" i="1"/>
  <c r="D7" i="1"/>
  <c r="D8" i="1"/>
  <c r="D9" i="1"/>
  <c r="D10" i="1"/>
  <c r="F10" i="1" s="1"/>
</calcChain>
</file>

<file path=xl/sharedStrings.xml><?xml version="1.0" encoding="utf-8"?>
<sst xmlns="http://schemas.openxmlformats.org/spreadsheetml/2006/main" count="270" uniqueCount="250">
  <si>
    <t>частота, гц</t>
  </si>
  <si>
    <t>И, мА</t>
  </si>
  <si>
    <t>У, В</t>
  </si>
  <si>
    <t>Разность фаз, делённая на пи</t>
  </si>
  <si>
    <t>индуктивность, мГн</t>
  </si>
  <si>
    <t>7 В</t>
  </si>
  <si>
    <t>14 В</t>
  </si>
  <si>
    <t>Ё</t>
  </si>
  <si>
    <t>1/Ё2</t>
  </si>
  <si>
    <t>ню2</t>
  </si>
  <si>
    <t xml:space="preserve"> </t>
  </si>
  <si>
    <t>частота^2</t>
  </si>
  <si>
    <t>Ё/Ё</t>
  </si>
  <si>
    <t>лн(ню)</t>
  </si>
  <si>
    <t>альфа</t>
  </si>
  <si>
    <t>0.992444</t>
  </si>
  <si>
    <t>0.982642</t>
  </si>
  <si>
    <t>0.983236</t>
  </si>
  <si>
    <t>0.962164</t>
  </si>
  <si>
    <t>0.970764</t>
  </si>
  <si>
    <t>0.935533</t>
  </si>
  <si>
    <t>0.955405</t>
  </si>
  <si>
    <t>0.904333</t>
  </si>
  <si>
    <t>0.937587</t>
  </si>
  <si>
    <t>0.870129</t>
  </si>
  <si>
    <t>0.917762</t>
  </si>
  <si>
    <t>0.834309</t>
  </si>
  <si>
    <t>0.896378</t>
  </si>
  <si>
    <t>0.798008</t>
  </si>
  <si>
    <t>0.873860</t>
  </si>
  <si>
    <t>0.762090</t>
  </si>
  <si>
    <t>0.850597</t>
  </si>
  <si>
    <t>0.727169</t>
  </si>
  <si>
    <t>0.826927</t>
  </si>
  <si>
    <t>0.693652</t>
  </si>
  <si>
    <t>0.803141</t>
  </si>
  <si>
    <t>0.661779</t>
  </si>
  <si>
    <t>0.756135</t>
  </si>
  <si>
    <t>0.603359</t>
  </si>
  <si>
    <t>0.710959</t>
  </si>
  <si>
    <t>0.551996</t>
  </si>
  <si>
    <t>0.668403</t>
  </si>
  <si>
    <t>0.507127</t>
  </si>
  <si>
    <t>0.628835</t>
  </si>
  <si>
    <t>0.467970</t>
  </si>
  <si>
    <t>0.474521</t>
  </si>
  <si>
    <t>0.332774</t>
  </si>
  <si>
    <t>0.374758</t>
  </si>
  <si>
    <t>0.255727</t>
  </si>
  <si>
    <t>0.307603</t>
  </si>
  <si>
    <t>0.206897</t>
  </si>
  <si>
    <t>0.260036</t>
  </si>
  <si>
    <t>0.173411</t>
  </si>
  <si>
    <t>0.224824</t>
  </si>
  <si>
    <t>0.149090</t>
  </si>
  <si>
    <t>0.197803</t>
  </si>
  <si>
    <t>0.130648</t>
  </si>
  <si>
    <t>0.176456</t>
  </si>
  <si>
    <t>0.116192</t>
  </si>
  <si>
    <t>0.159186</t>
  </si>
  <si>
    <t>0.104559</t>
  </si>
  <si>
    <t>0.122816</t>
  </si>
  <si>
    <t>0.080194</t>
  </si>
  <si>
    <t>0.099765</t>
  </si>
  <si>
    <t>0.064809</t>
  </si>
  <si>
    <t>0.079587</t>
  </si>
  <si>
    <t>0.051341</t>
  </si>
  <si>
    <t>0.060764</t>
  </si>
  <si>
    <t>0.038742</t>
  </si>
  <si>
    <t>0.047294</t>
  </si>
  <si>
    <t>0.029678</t>
  </si>
  <si>
    <t>0.035484</t>
  </si>
  <si>
    <t>0.021690</t>
  </si>
  <si>
    <t>0.026820</t>
  </si>
  <si>
    <t>0.015831</t>
  </si>
  <si>
    <t>0.020035</t>
  </si>
  <si>
    <t>0.011299</t>
  </si>
  <si>
    <t>0.014418</t>
  </si>
  <si>
    <t>0.007664</t>
  </si>
  <si>
    <t>0.010405</t>
  </si>
  <si>
    <t>0.005200</t>
  </si>
  <si>
    <t>0.007018</t>
  </si>
  <si>
    <t>0.003256</t>
  </si>
  <si>
    <t>0.004584</t>
  </si>
  <si>
    <t>0.001969</t>
  </si>
  <si>
    <t>0.002892</t>
  </si>
  <si>
    <t>0.001144</t>
  </si>
  <si>
    <t>0.001726</t>
  </si>
  <si>
    <t>0.000623</t>
  </si>
  <si>
    <t>nu</t>
  </si>
  <si>
    <t>ln(nu)</t>
  </si>
  <si>
    <t>эксперимент</t>
  </si>
  <si>
    <t>0.988060</t>
  </si>
  <si>
    <t>0.973719</t>
  </si>
  <si>
    <t>0.954652</t>
  </si>
  <si>
    <t>0.931707</t>
  </si>
  <si>
    <t>0.905788</t>
  </si>
  <si>
    <t>0.877778</t>
  </si>
  <si>
    <t>0.848476</t>
  </si>
  <si>
    <t>0.818570</t>
  </si>
  <si>
    <t>0.788618</t>
  </si>
  <si>
    <t>0.759056</t>
  </si>
  <si>
    <t>0.730208</t>
  </si>
  <si>
    <t>0.675482</t>
  </si>
  <si>
    <t>0.625422</t>
  </si>
  <si>
    <t>0.580244</t>
  </si>
  <si>
    <t>0.539754</t>
  </si>
  <si>
    <t>0.392960</t>
  </si>
  <si>
    <t>0.305109</t>
  </si>
  <si>
    <t>0.248174</t>
  </si>
  <si>
    <t>0.208671</t>
  </si>
  <si>
    <t>0.179785</t>
  </si>
  <si>
    <t>0.157791</t>
  </si>
  <si>
    <t>0.140505</t>
  </si>
  <si>
    <t>0.126569</t>
  </si>
  <si>
    <t>0.097336</t>
  </si>
  <si>
    <t>0.078863</t>
  </si>
  <si>
    <t>0.062702</t>
  </si>
  <si>
    <t>0.047612</t>
  </si>
  <si>
    <t>0.036785</t>
  </si>
  <si>
    <t>0.027262</t>
  </si>
  <si>
    <t>0.020263</t>
  </si>
  <si>
    <t>0.014801</t>
  </si>
  <si>
    <t>0.010335</t>
  </si>
  <si>
    <t>0.007221</t>
  </si>
  <si>
    <t>0.004681</t>
  </si>
  <si>
    <t>0.002934</t>
  </si>
  <si>
    <t>0.001773</t>
  </si>
  <si>
    <t>0.001008</t>
  </si>
  <si>
    <t>================================================================================</t>
  </si>
  <si>
    <t>Данные</t>
  </si>
  <si>
    <t>для</t>
  </si>
  <si>
    <t>копирования</t>
  </si>
  <si>
    <t>в</t>
  </si>
  <si>
    <t>Excel:</t>
  </si>
  <si>
    <t>Частота</t>
  </si>
  <si>
    <t>σ_min</t>
  </si>
  <si>
    <t>σ_table</t>
  </si>
  <si>
    <t>σ_max</t>
  </si>
  <si>
    <t>0.9924441416601757</t>
  </si>
  <si>
    <t>0.9880599614585027</t>
  </si>
  <si>
    <t>0.982642021590348</t>
  </si>
  <si>
    <t>0.983235802174261</t>
  </si>
  <si>
    <t>0.973719379355495</t>
  </si>
  <si>
    <t>0.9621643025721128</t>
  </si>
  <si>
    <t>0.9707642584168817</t>
  </si>
  <si>
    <t>0.9546523276785375</t>
  </si>
  <si>
    <t>0.9355328721487315</t>
  </si>
  <si>
    <t>0.9554053872977124</t>
  </si>
  <si>
    <t>0.9317070797247131</t>
  </si>
  <si>
    <t>0.9043332847643577</t>
  </si>
  <si>
    <t>0.9375874764653578</t>
  </si>
  <si>
    <t>0.9057883803795003</t>
  </si>
  <si>
    <t>0.8701289648830073</t>
  </si>
  <si>
    <t>0.9177620578279955</t>
  </si>
  <si>
    <t>0.8777777933487705</t>
  </si>
  <si>
    <t>0.8343086247704763</t>
  </si>
  <si>
    <t>0.8963779116271322</t>
  </si>
  <si>
    <t>0.8484760735712015</t>
  </si>
  <si>
    <t>0.7980075231786811</t>
  </si>
  <si>
    <t>0.8738603352431592</t>
  </si>
  <si>
    <t>0.8185696447105613</t>
  </si>
  <si>
    <t>0.762089692433739</t>
  </si>
  <si>
    <t>0.8505965219116297</t>
  </si>
  <si>
    <t>0.7886179992330068</t>
  </si>
  <si>
    <t>0.7271694375790959</t>
  </si>
  <si>
    <t>0.8269268672177255</t>
  </si>
  <si>
    <t>0.759056372081806</t>
  </si>
  <si>
    <t>0.6936519422564372</t>
  </si>
  <si>
    <t>0.8031413499303863</t>
  </si>
  <si>
    <t>0.7302078027164274</t>
  </si>
  <si>
    <t>0.6617787226581284</t>
  </si>
  <si>
    <t>0.7561349839666581</t>
  </si>
  <si>
    <t>0.675481611351477</t>
  </si>
  <si>
    <t>0.6033590280143902</t>
  </si>
  <si>
    <t>0.710959072386863</t>
  </si>
  <si>
    <t>0.6254215732966967</t>
  </si>
  <si>
    <t>0.5519960267107206</t>
  </si>
  <si>
    <t>0.6684032331491585</t>
  </si>
  <si>
    <t>0.5802443310905749</t>
  </si>
  <si>
    <t>0.5071272284625895</t>
  </si>
  <si>
    <t>0.628834906895701</t>
  </si>
  <si>
    <t>0.5397544951887719</t>
  </si>
  <si>
    <t>0.4679703441426674</t>
  </si>
  <si>
    <t>0.47452068917952495</t>
  </si>
  <si>
    <t>0.3929604578699742</t>
  </si>
  <si>
    <t>0.3327736581721897</t>
  </si>
  <si>
    <t>0.3747576730319665</t>
  </si>
  <si>
    <t>0.3051090620009579</t>
  </si>
  <si>
    <t>0.25572691804644115</t>
  </si>
  <si>
    <t>0.30760290567527426</t>
  </si>
  <si>
    <t>0.24817358865002812</t>
  </si>
  <si>
    <t>0.20689675986777875</t>
  </si>
  <si>
    <t>0.2600360570346119</t>
  </si>
  <si>
    <t>0.2086706803325257</t>
  </si>
  <si>
    <t>0.17341135270836178</t>
  </si>
  <si>
    <t>0.22482357551783655</t>
  </si>
  <si>
    <t>0.17978485328012872</t>
  </si>
  <si>
    <t>0.14909022686379186</t>
  </si>
  <si>
    <t>0.1978028499994301</t>
  </si>
  <si>
    <t>0.15779085234989848</t>
  </si>
  <si>
    <t>0.13064839191942892</t>
  </si>
  <si>
    <t>0.17645592728649637</t>
  </si>
  <si>
    <t>0.14050469284500175</t>
  </si>
  <si>
    <t>0.11619237325718149</t>
  </si>
  <si>
    <t>0.15918571246689353</t>
  </si>
  <si>
    <t>0.12656920209159883</t>
  </si>
  <si>
    <t>0.10455850737628782</t>
  </si>
  <si>
    <t>0.12281623668526485</t>
  </si>
  <si>
    <t>0.09733641765579604</t>
  </si>
  <si>
    <t>0.0801943724245706</t>
  </si>
  <si>
    <t>0.09976530838652481</t>
  </si>
  <si>
    <t>0.07886264691502186</t>
  </si>
  <si>
    <t>0.06480898029287932</t>
  </si>
  <si>
    <t>0.07958705220425195</t>
  </si>
  <si>
    <t>0.06270207643686898</t>
  </si>
  <si>
    <t>0.051341315515126246</t>
  </si>
  <si>
    <t>0.06076437453855431</t>
  </si>
  <si>
    <t>0.04761201758488538</t>
  </si>
  <si>
    <t>0.038741755706503636</t>
  </si>
  <si>
    <t>0.04729377863417475</t>
  </si>
  <si>
    <t>0.03678507904824346</t>
  </si>
  <si>
    <t>0.029677574628323114</t>
  </si>
  <si>
    <t>0.035483606817305655</t>
  </si>
  <si>
    <t>0.02726218320903125</t>
  </si>
  <si>
    <t>0.021690402829750075</t>
  </si>
  <si>
    <t>0.026819538578389892</t>
  </si>
  <si>
    <t>0.020263387227832046</t>
  </si>
  <si>
    <t>0.015831194259268863</t>
  </si>
  <si>
    <t>0.020035157750938715</t>
  </si>
  <si>
    <t>0.014800791450175746</t>
  </si>
  <si>
    <t>0.011299203360266328</t>
  </si>
  <si>
    <t>0.01441790538221014</t>
  </si>
  <si>
    <t>0.010334841543178753</t>
  </si>
  <si>
    <t>0.007664163380946724</t>
  </si>
  <si>
    <t>0.010405426476767808</t>
  </si>
  <si>
    <t>0.007220786017321865</t>
  </si>
  <si>
    <t>0.00519954317370439</t>
  </si>
  <si>
    <t>0.0070175243780305424</t>
  </si>
  <si>
    <t>0.004681270572453832</t>
  </si>
  <si>
    <t>0.003256431356679837</t>
  </si>
  <si>
    <t>0.004583622625701506</t>
  </si>
  <si>
    <t>0.00293386275540905</t>
  </si>
  <si>
    <t>0.001968691213685577</t>
  </si>
  <si>
    <t>0.0028921218030879196</t>
  </si>
  <si>
    <t>0.0017726600996032056</t>
  </si>
  <si>
    <t>0.0011444585176237493</t>
  </si>
  <si>
    <t>0.0017259498732167945</t>
  </si>
  <si>
    <t>0.0010078147740456061</t>
  </si>
  <si>
    <t>0.0006225160987525846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</si>
</sst>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Лист1!$E$2:$E$14</c:f>
              <c:numCache>
                <c:formatCode>General</c:formatCode>
                <c:ptCount val="13"/>
                <c:pt idx="0">
                  <c:v>400</c:v>
                </c:pt>
                <c:pt idx="1">
                  <c:v>900</c:v>
                </c:pt>
                <c:pt idx="2">
                  <c:v>1600</c:v>
                </c:pt>
                <c:pt idx="3">
                  <c:v>2500</c:v>
                </c:pt>
                <c:pt idx="4">
                  <c:v>3600</c:v>
                </c:pt>
                <c:pt idx="5">
                  <c:v>4900</c:v>
                </c:pt>
                <c:pt idx="6">
                  <c:v>6400</c:v>
                </c:pt>
                <c:pt idx="7">
                  <c:v>8100</c:v>
                </c:pt>
                <c:pt idx="8">
                  <c:v>10000</c:v>
                </c:pt>
                <c:pt idx="9">
                  <c:v>12100</c:v>
                </c:pt>
                <c:pt idx="10">
                  <c:v>14400</c:v>
                </c:pt>
                <c:pt idx="11">
                  <c:v>19600</c:v>
                </c:pt>
                <c:pt idx="12">
                  <c:v>25600</c:v>
                </c:pt>
              </c:numCache>
            </c:numRef>
          </c:xVal>
          <c:yVal>
            <c:numRef>
              <c:f>Лист1!$F$2:$F$14</c:f>
              <c:numCache>
                <c:formatCode>General</c:formatCode>
                <c:ptCount val="13"/>
                <c:pt idx="0">
                  <c:v>5043.1133166808404</c:v>
                </c:pt>
                <c:pt idx="1">
                  <c:v>5170.1887778086639</c:v>
                </c:pt>
                <c:pt idx="2">
                  <c:v>5336.8097227468133</c:v>
                </c:pt>
                <c:pt idx="3">
                  <c:v>5543.2294792179509</c:v>
                </c:pt>
                <c:pt idx="4">
                  <c:v>5763.7359086591468</c:v>
                </c:pt>
                <c:pt idx="5">
                  <c:v>6016.5642370825444</c:v>
                </c:pt>
                <c:pt idx="6">
                  <c:v>6301.9621433343837</c:v>
                </c:pt>
                <c:pt idx="7">
                  <c:v>6626.4739690109973</c:v>
                </c:pt>
                <c:pt idx="8">
                  <c:v>6983.8966866216724</c:v>
                </c:pt>
                <c:pt idx="9">
                  <c:v>7375.0057872542275</c:v>
                </c:pt>
                <c:pt idx="10">
                  <c:v>7783.8323509057418</c:v>
                </c:pt>
                <c:pt idx="11">
                  <c:v>8747.6496582502368</c:v>
                </c:pt>
                <c:pt idx="12">
                  <c:v>9857.5334457877398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7C5-4390-A279-161ED5ECE2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49207024"/>
        <c:axId val="649207504"/>
      </c:scatterChart>
      <c:valAx>
        <c:axId val="64920702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9207504"/>
        <c:crosses val="autoZero"/>
        <c:crossBetween val="midCat"/>
      </c:valAx>
      <c:valAx>
        <c:axId val="6492075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6492070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Лист1!$P$2:$P$15</c:f>
              <c:numCache>
                <c:formatCode>General</c:formatCode>
                <c:ptCount val="14"/>
                <c:pt idx="0">
                  <c:v>100</c:v>
                </c:pt>
                <c:pt idx="1">
                  <c:v>120</c:v>
                </c:pt>
                <c:pt idx="2">
                  <c:v>140</c:v>
                </c:pt>
                <c:pt idx="3">
                  <c:v>160</c:v>
                </c:pt>
                <c:pt idx="4">
                  <c:v>180</c:v>
                </c:pt>
                <c:pt idx="5">
                  <c:v>200</c:v>
                </c:pt>
                <c:pt idx="6">
                  <c:v>300</c:v>
                </c:pt>
                <c:pt idx="7">
                  <c:v>400</c:v>
                </c:pt>
                <c:pt idx="8">
                  <c:v>500</c:v>
                </c:pt>
                <c:pt idx="9">
                  <c:v>600</c:v>
                </c:pt>
                <c:pt idx="10">
                  <c:v>700</c:v>
                </c:pt>
                <c:pt idx="11">
                  <c:v>800</c:v>
                </c:pt>
                <c:pt idx="12">
                  <c:v>900</c:v>
                </c:pt>
                <c:pt idx="13">
                  <c:v>1000</c:v>
                </c:pt>
              </c:numCache>
            </c:numRef>
          </c:xVal>
          <c:yVal>
            <c:numRef>
              <c:f>Лист1!$T$2:$T$15</c:f>
              <c:numCache>
                <c:formatCode>General</c:formatCode>
                <c:ptCount val="14"/>
                <c:pt idx="0">
                  <c:v>3.5796000000000001</c:v>
                </c:pt>
                <c:pt idx="1">
                  <c:v>3.7679999999999998</c:v>
                </c:pt>
                <c:pt idx="2">
                  <c:v>3.8308</c:v>
                </c:pt>
                <c:pt idx="3">
                  <c:v>3.9249999999999998</c:v>
                </c:pt>
                <c:pt idx="4">
                  <c:v>4.0506000000000002</c:v>
                </c:pt>
                <c:pt idx="5">
                  <c:v>4.0820000000000007</c:v>
                </c:pt>
                <c:pt idx="6">
                  <c:v>4.3332000000000006</c:v>
                </c:pt>
                <c:pt idx="7">
                  <c:v>4.5844000000000005</c:v>
                </c:pt>
                <c:pt idx="8">
                  <c:v>4.6471999999999998</c:v>
                </c:pt>
                <c:pt idx="9">
                  <c:v>4.71</c:v>
                </c:pt>
                <c:pt idx="10">
                  <c:v>4.71</c:v>
                </c:pt>
                <c:pt idx="11">
                  <c:v>4.71</c:v>
                </c:pt>
                <c:pt idx="12">
                  <c:v>4.71</c:v>
                </c:pt>
                <c:pt idx="13">
                  <c:v>4.71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48C7-4376-B478-40D6C34CFC9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495504"/>
        <c:axId val="2098495984"/>
      </c:scatterChart>
      <c:valAx>
        <c:axId val="209849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8495984"/>
        <c:crosses val="autoZero"/>
        <c:crossBetween val="midCat"/>
      </c:valAx>
      <c:valAx>
        <c:axId val="20984959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849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Лист2!$A$2:$A$16</c:f>
              <c:numCache>
                <c:formatCode>General</c:formatCode>
                <c:ptCount val="15"/>
                <c:pt idx="0">
                  <c:v>1000</c:v>
                </c:pt>
                <c:pt idx="1">
                  <c:v>1300</c:v>
                </c:pt>
                <c:pt idx="2">
                  <c:v>1600</c:v>
                </c:pt>
                <c:pt idx="3">
                  <c:v>2000</c:v>
                </c:pt>
                <c:pt idx="4">
                  <c:v>2600</c:v>
                </c:pt>
                <c:pt idx="5">
                  <c:v>3300</c:v>
                </c:pt>
                <c:pt idx="6">
                  <c:v>4300</c:v>
                </c:pt>
                <c:pt idx="7">
                  <c:v>5500</c:v>
                </c:pt>
                <c:pt idx="8">
                  <c:v>7000</c:v>
                </c:pt>
                <c:pt idx="9">
                  <c:v>9000</c:v>
                </c:pt>
                <c:pt idx="10">
                  <c:v>11300</c:v>
                </c:pt>
                <c:pt idx="11">
                  <c:v>14500</c:v>
                </c:pt>
                <c:pt idx="12">
                  <c:v>18500</c:v>
                </c:pt>
                <c:pt idx="13">
                  <c:v>23500</c:v>
                </c:pt>
                <c:pt idx="14">
                  <c:v>30000</c:v>
                </c:pt>
              </c:numCache>
            </c:numRef>
          </c:xVal>
          <c:yVal>
            <c:numRef>
              <c:f>Лист2!$E$2:$E$16</c:f>
              <c:numCache>
                <c:formatCode>General</c:formatCode>
                <c:ptCount val="15"/>
                <c:pt idx="0">
                  <c:v>3.14</c:v>
                </c:pt>
                <c:pt idx="1">
                  <c:v>3.2028000000000003</c:v>
                </c:pt>
                <c:pt idx="2">
                  <c:v>3.2656000000000001</c:v>
                </c:pt>
                <c:pt idx="3">
                  <c:v>3.3912000000000004</c:v>
                </c:pt>
                <c:pt idx="4">
                  <c:v>3.5482</c:v>
                </c:pt>
                <c:pt idx="5">
                  <c:v>3.6738</c:v>
                </c:pt>
                <c:pt idx="6">
                  <c:v>3.8308</c:v>
                </c:pt>
                <c:pt idx="7">
                  <c:v>4.0820000000000007</c:v>
                </c:pt>
                <c:pt idx="8">
                  <c:v>4.3018000000000001</c:v>
                </c:pt>
                <c:pt idx="9">
                  <c:v>4.7728000000000002</c:v>
                </c:pt>
                <c:pt idx="10">
                  <c:v>5.0554000000000006</c:v>
                </c:pt>
                <c:pt idx="11">
                  <c:v>5.4950000000000001</c:v>
                </c:pt>
                <c:pt idx="12">
                  <c:v>5.7462000000000009</c:v>
                </c:pt>
                <c:pt idx="13">
                  <c:v>5.6834000000000007</c:v>
                </c:pt>
                <c:pt idx="14">
                  <c:v>5.8718000000000004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33F9-4F9B-869C-5F560994CF2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498384"/>
        <c:axId val="2098502704"/>
      </c:scatterChart>
      <c:valAx>
        <c:axId val="209849838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8502704"/>
        <c:crosses val="autoZero"/>
        <c:crossBetween val="midCat"/>
      </c:valAx>
      <c:valAx>
        <c:axId val="20985027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849838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RLC!$A$2:$A$15</c:f>
              <c:numCache>
                <c:formatCode>General</c:formatCode>
                <c:ptCount val="14"/>
                <c:pt idx="0">
                  <c:v>40</c:v>
                </c:pt>
                <c:pt idx="1">
                  <c:v>100</c:v>
                </c:pt>
                <c:pt idx="2">
                  <c:v>200</c:v>
                </c:pt>
                <c:pt idx="3">
                  <c:v>300</c:v>
                </c:pt>
                <c:pt idx="4">
                  <c:v>400</c:v>
                </c:pt>
                <c:pt idx="5">
                  <c:v>500</c:v>
                </c:pt>
                <c:pt idx="6">
                  <c:v>600</c:v>
                </c:pt>
                <c:pt idx="7">
                  <c:v>800</c:v>
                </c:pt>
                <c:pt idx="8">
                  <c:v>1500</c:v>
                </c:pt>
                <c:pt idx="9">
                  <c:v>2000</c:v>
                </c:pt>
                <c:pt idx="10">
                  <c:v>2500</c:v>
                </c:pt>
                <c:pt idx="11">
                  <c:v>4000</c:v>
                </c:pt>
                <c:pt idx="12">
                  <c:v>6000</c:v>
                </c:pt>
                <c:pt idx="13">
                  <c:v>7500</c:v>
                </c:pt>
              </c:numCache>
            </c:numRef>
          </c:xVal>
          <c:yVal>
            <c:numRef>
              <c:f>RLC!$B$2:$B$15</c:f>
              <c:numCache>
                <c:formatCode>General</c:formatCode>
                <c:ptCount val="14"/>
                <c:pt idx="0">
                  <c:v>19.2</c:v>
                </c:pt>
                <c:pt idx="1">
                  <c:v>15.3</c:v>
                </c:pt>
                <c:pt idx="2">
                  <c:v>11.27</c:v>
                </c:pt>
                <c:pt idx="3">
                  <c:v>8.9</c:v>
                </c:pt>
                <c:pt idx="4">
                  <c:v>7.8</c:v>
                </c:pt>
                <c:pt idx="5">
                  <c:v>7.1</c:v>
                </c:pt>
                <c:pt idx="6">
                  <c:v>6.6</c:v>
                </c:pt>
                <c:pt idx="7">
                  <c:v>5.6</c:v>
                </c:pt>
                <c:pt idx="8">
                  <c:v>5.67</c:v>
                </c:pt>
                <c:pt idx="9">
                  <c:v>5.69</c:v>
                </c:pt>
                <c:pt idx="10">
                  <c:v>5.46</c:v>
                </c:pt>
                <c:pt idx="11">
                  <c:v>5.05</c:v>
                </c:pt>
                <c:pt idx="12">
                  <c:v>5.48</c:v>
                </c:pt>
                <c:pt idx="13">
                  <c:v>5.19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B1E-4922-92CE-4785A37D72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871665504"/>
        <c:axId val="1871673184"/>
      </c:scatterChart>
      <c:valAx>
        <c:axId val="187166550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673184"/>
        <c:crosses val="autoZero"/>
        <c:crossBetween val="midCat"/>
      </c:valAx>
      <c:valAx>
        <c:axId val="18716731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87166550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RLC!$C$2:$C$8</c:f>
              <c:numCache>
                <c:formatCode>General</c:formatCode>
                <c:ptCount val="7"/>
                <c:pt idx="0">
                  <c:v>1600</c:v>
                </c:pt>
                <c:pt idx="1">
                  <c:v>10000</c:v>
                </c:pt>
                <c:pt idx="2">
                  <c:v>40000</c:v>
                </c:pt>
                <c:pt idx="3">
                  <c:v>90000</c:v>
                </c:pt>
                <c:pt idx="4">
                  <c:v>160000</c:v>
                </c:pt>
                <c:pt idx="5">
                  <c:v>250000</c:v>
                </c:pt>
                <c:pt idx="6">
                  <c:v>360000</c:v>
                </c:pt>
              </c:numCache>
            </c:numRef>
          </c:xVal>
          <c:yVal>
            <c:numRef>
              <c:f>RLC!$D$2:$D$8</c:f>
              <c:numCache>
                <c:formatCode>General</c:formatCode>
                <c:ptCount val="7"/>
                <c:pt idx="0">
                  <c:v>0</c:v>
                </c:pt>
                <c:pt idx="1">
                  <c:v>0.38048780487804862</c:v>
                </c:pt>
                <c:pt idx="2">
                  <c:v>1.27491961414791</c:v>
                </c:pt>
                <c:pt idx="3">
                  <c:v>2.6753246753246747</c:v>
                </c:pt>
                <c:pt idx="4">
                  <c:v>4.1454545454545446</c:v>
                </c:pt>
                <c:pt idx="5">
                  <c:v>5.9024390243902438</c:v>
                </c:pt>
                <c:pt idx="6">
                  <c:v>8.129032258064516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2F2C-46CD-BE80-E80A3014F1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098494064"/>
        <c:axId val="2098508944"/>
      </c:scatterChart>
      <c:valAx>
        <c:axId val="2098494064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8508944"/>
        <c:crosses val="autoZero"/>
        <c:crossBetween val="midCat"/>
      </c:valAx>
      <c:valAx>
        <c:axId val="2098508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209849406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Лист3!$L$2:$L$42</c:f>
              <c:numCache>
                <c:formatCode>General</c:formatCode>
                <c:ptCount val="41"/>
                <c:pt idx="0">
                  <c:v>2.9957322735539909</c:v>
                </c:pt>
                <c:pt idx="1">
                  <c:v>3.4011973816621555</c:v>
                </c:pt>
                <c:pt idx="2">
                  <c:v>3.6888794541139363</c:v>
                </c:pt>
                <c:pt idx="3">
                  <c:v>3.912023005428146</c:v>
                </c:pt>
                <c:pt idx="4">
                  <c:v>4.0943445622221004</c:v>
                </c:pt>
                <c:pt idx="5">
                  <c:v>4.2484952420493594</c:v>
                </c:pt>
                <c:pt idx="6">
                  <c:v>4.3820266346738812</c:v>
                </c:pt>
                <c:pt idx="7">
                  <c:v>4.499809670330265</c:v>
                </c:pt>
                <c:pt idx="8">
                  <c:v>4.6051701859880918</c:v>
                </c:pt>
                <c:pt idx="9">
                  <c:v>4.7004803657924166</c:v>
                </c:pt>
                <c:pt idx="10">
                  <c:v>4.7874917427820458</c:v>
                </c:pt>
                <c:pt idx="11">
                  <c:v>4.9416424226093039</c:v>
                </c:pt>
                <c:pt idx="12">
                  <c:v>5.0751738152338266</c:v>
                </c:pt>
                <c:pt idx="13">
                  <c:v>4.6051701859880918</c:v>
                </c:pt>
                <c:pt idx="14">
                  <c:v>4.7874917427820458</c:v>
                </c:pt>
                <c:pt idx="15">
                  <c:v>4.9416424226093039</c:v>
                </c:pt>
                <c:pt idx="16">
                  <c:v>5.0751738152338266</c:v>
                </c:pt>
                <c:pt idx="17">
                  <c:v>5.1929568508902104</c:v>
                </c:pt>
                <c:pt idx="18">
                  <c:v>5.2983173665480363</c:v>
                </c:pt>
                <c:pt idx="19">
                  <c:v>5.7037824746562009</c:v>
                </c:pt>
                <c:pt idx="20">
                  <c:v>5.9914645471079817</c:v>
                </c:pt>
                <c:pt idx="21">
                  <c:v>6.2146080984221914</c:v>
                </c:pt>
                <c:pt idx="22">
                  <c:v>6.3969296552161463</c:v>
                </c:pt>
                <c:pt idx="23">
                  <c:v>6.5510803350434044</c:v>
                </c:pt>
                <c:pt idx="24">
                  <c:v>6.6846117276679271</c:v>
                </c:pt>
                <c:pt idx="25">
                  <c:v>6.8023947633243109</c:v>
                </c:pt>
                <c:pt idx="26">
                  <c:v>6.9077552789821368</c:v>
                </c:pt>
                <c:pt idx="27">
                  <c:v>7.1701195434496281</c:v>
                </c:pt>
                <c:pt idx="28">
                  <c:v>7.3777589082278725</c:v>
                </c:pt>
                <c:pt idx="29">
                  <c:v>7.6009024595420822</c:v>
                </c:pt>
                <c:pt idx="30">
                  <c:v>7.8632667240095735</c:v>
                </c:pt>
                <c:pt idx="31">
                  <c:v>8.1016777474545716</c:v>
                </c:pt>
                <c:pt idx="32">
                  <c:v>8.3663703016816537</c:v>
                </c:pt>
                <c:pt idx="33">
                  <c:v>8.6125033712205621</c:v>
                </c:pt>
                <c:pt idx="34">
                  <c:v>8.8536654280374503</c:v>
                </c:pt>
                <c:pt idx="35">
                  <c:v>9.1049798563183568</c:v>
                </c:pt>
                <c:pt idx="36">
                  <c:v>9.3325580047004326</c:v>
                </c:pt>
                <c:pt idx="37">
                  <c:v>9.581903928408666</c:v>
                </c:pt>
                <c:pt idx="38">
                  <c:v>9.8255260110664153</c:v>
                </c:pt>
                <c:pt idx="39">
                  <c:v>10.064755700132251</c:v>
                </c:pt>
                <c:pt idx="40">
                  <c:v>10.308952660644293</c:v>
                </c:pt>
              </c:numCache>
            </c:numRef>
          </c:xVal>
          <c:yVal>
            <c:numRef>
              <c:f>Лист3!$M$2:$M$42</c:f>
              <c:numCache>
                <c:formatCode>General</c:formatCode>
                <c:ptCount val="41"/>
                <c:pt idx="0">
                  <c:v>0.99586673809244208</c:v>
                </c:pt>
                <c:pt idx="1">
                  <c:v>0.98355214577278116</c:v>
                </c:pt>
                <c:pt idx="2">
                  <c:v>0.96807661888370267</c:v>
                </c:pt>
                <c:pt idx="3">
                  <c:v>0.9498809142375253</c:v>
                </c:pt>
                <c:pt idx="4">
                  <c:v>0.93153366325406539</c:v>
                </c:pt>
                <c:pt idx="5">
                  <c:v>0.91175113283810016</c:v>
                </c:pt>
                <c:pt idx="6">
                  <c:v>0.89086663834706081</c:v>
                </c:pt>
                <c:pt idx="7">
                  <c:v>0.86877905549825096</c:v>
                </c:pt>
                <c:pt idx="8">
                  <c:v>0.84625585691440874</c:v>
                </c:pt>
                <c:pt idx="9">
                  <c:v>0.82351100608358418</c:v>
                </c:pt>
                <c:pt idx="10">
                  <c:v>0.80159288517026162</c:v>
                </c:pt>
                <c:pt idx="11">
                  <c:v>0.75614467816488762</c:v>
                </c:pt>
                <c:pt idx="12">
                  <c:v>0.71230576764076647</c:v>
                </c:pt>
                <c:pt idx="13">
                  <c:v>0.84478096405022984</c:v>
                </c:pt>
                <c:pt idx="14">
                  <c:v>0.8009095483744777</c:v>
                </c:pt>
                <c:pt idx="15">
                  <c:v>0.75611387138723307</c:v>
                </c:pt>
                <c:pt idx="16">
                  <c:v>0.71478268725667837</c:v>
                </c:pt>
                <c:pt idx="17">
                  <c:v>0.67161602650116936</c:v>
                </c:pt>
                <c:pt idx="18">
                  <c:v>0.63316497795527205</c:v>
                </c:pt>
                <c:pt idx="19">
                  <c:v>0.48074305500048076</c:v>
                </c:pt>
                <c:pt idx="20">
                  <c:v>0.38073452754447112</c:v>
                </c:pt>
                <c:pt idx="21">
                  <c:v>0.31303767364998736</c:v>
                </c:pt>
                <c:pt idx="22">
                  <c:v>0.26532067943559101</c:v>
                </c:pt>
                <c:pt idx="23">
                  <c:v>0.2296254008306142</c:v>
                </c:pt>
                <c:pt idx="24">
                  <c:v>0.20235775850839999</c:v>
                </c:pt>
                <c:pt idx="25">
                  <c:v>0.18072306868054791</c:v>
                </c:pt>
                <c:pt idx="26">
                  <c:v>0.16328094097969276</c:v>
                </c:pt>
                <c:pt idx="27">
                  <c:v>0.12610833251405668</c:v>
                </c:pt>
                <c:pt idx="28">
                  <c:v>0.10255259976341016</c:v>
                </c:pt>
                <c:pt idx="29">
                  <c:v>8.1897891487364122E-2</c:v>
                </c:pt>
                <c:pt idx="30">
                  <c:v>6.267993545635428E-2</c:v>
                </c:pt>
                <c:pt idx="31">
                  <c:v>4.8906026955266677E-2</c:v>
                </c:pt>
                <c:pt idx="32">
                  <c:v>3.692516569698838E-2</c:v>
                </c:pt>
                <c:pt idx="33">
                  <c:v>2.8199750921383701E-2</c:v>
                </c:pt>
                <c:pt idx="34">
                  <c:v>2.1463213951887317E-2</c:v>
                </c:pt>
                <c:pt idx="35">
                  <c:v>1.6070863633465243E-2</c:v>
                </c:pt>
                <c:pt idx="36">
                  <c:v>1.2505441279660807E-2</c:v>
                </c:pt>
                <c:pt idx="37">
                  <c:v>9.8736330934479487E-3</c:v>
                </c:pt>
                <c:pt idx="38">
                  <c:v>8.6612149889457365E-3</c:v>
                </c:pt>
                <c:pt idx="39">
                  <c:v>9.1381362803645231E-3</c:v>
                </c:pt>
                <c:pt idx="40">
                  <c:v>1.6672171808297952E-2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1D81-4FD9-8E09-C70E6107EF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089328"/>
        <c:axId val="1761090288"/>
      </c:scatterChart>
      <c:valAx>
        <c:axId val="176108932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1090288"/>
        <c:crosses val="autoZero"/>
        <c:crossBetween val="midCat"/>
      </c:valAx>
      <c:valAx>
        <c:axId val="17610902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1089328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Лист4!$C$1:$C$37</c:f>
              <c:numCache>
                <c:formatCode>General</c:formatCode>
                <c:ptCount val="37"/>
                <c:pt idx="0">
                  <c:v>2.9957322735539909</c:v>
                </c:pt>
                <c:pt idx="1">
                  <c:v>3.4011973816621555</c:v>
                </c:pt>
                <c:pt idx="2">
                  <c:v>3.6888794541139363</c:v>
                </c:pt>
                <c:pt idx="3">
                  <c:v>3.912023005428146</c:v>
                </c:pt>
                <c:pt idx="4">
                  <c:v>4.0943445622221004</c:v>
                </c:pt>
                <c:pt idx="5">
                  <c:v>4.2484952420493594</c:v>
                </c:pt>
                <c:pt idx="6">
                  <c:v>4.3820266346738812</c:v>
                </c:pt>
                <c:pt idx="7">
                  <c:v>4.499809670330265</c:v>
                </c:pt>
                <c:pt idx="8">
                  <c:v>4.6051701859880918</c:v>
                </c:pt>
                <c:pt idx="9">
                  <c:v>4.7004803657924166</c:v>
                </c:pt>
                <c:pt idx="10">
                  <c:v>4.7874917427820458</c:v>
                </c:pt>
                <c:pt idx="11">
                  <c:v>4.9416424226093039</c:v>
                </c:pt>
                <c:pt idx="12">
                  <c:v>5.0751738152338266</c:v>
                </c:pt>
                <c:pt idx="13">
                  <c:v>5.1929568508902104</c:v>
                </c:pt>
                <c:pt idx="14">
                  <c:v>5.2983173665480363</c:v>
                </c:pt>
                <c:pt idx="15">
                  <c:v>5.7037824746562009</c:v>
                </c:pt>
                <c:pt idx="16">
                  <c:v>5.9914645471079817</c:v>
                </c:pt>
                <c:pt idx="17">
                  <c:v>6.2146080984221914</c:v>
                </c:pt>
                <c:pt idx="18">
                  <c:v>6.3969296552161463</c:v>
                </c:pt>
                <c:pt idx="19">
                  <c:v>6.5510803350434044</c:v>
                </c:pt>
                <c:pt idx="20">
                  <c:v>6.6846117276679271</c:v>
                </c:pt>
                <c:pt idx="21">
                  <c:v>6.8023947633243109</c:v>
                </c:pt>
                <c:pt idx="22">
                  <c:v>6.9077552789821368</c:v>
                </c:pt>
                <c:pt idx="23">
                  <c:v>7.1701195434496281</c:v>
                </c:pt>
                <c:pt idx="24">
                  <c:v>7.3777589082278725</c:v>
                </c:pt>
                <c:pt idx="25">
                  <c:v>7.6009024595420822</c:v>
                </c:pt>
                <c:pt idx="26">
                  <c:v>7.8632667240095735</c:v>
                </c:pt>
                <c:pt idx="27">
                  <c:v>8.1016777474545716</c:v>
                </c:pt>
                <c:pt idx="28">
                  <c:v>8.3663703016816537</c:v>
                </c:pt>
                <c:pt idx="29">
                  <c:v>8.6125033712205621</c:v>
                </c:pt>
                <c:pt idx="30">
                  <c:v>8.8536654280374503</c:v>
                </c:pt>
                <c:pt idx="31">
                  <c:v>9.1049798563183568</c:v>
                </c:pt>
                <c:pt idx="32">
                  <c:v>9.3325580047004326</c:v>
                </c:pt>
                <c:pt idx="33">
                  <c:v>9.581903928408666</c:v>
                </c:pt>
                <c:pt idx="34">
                  <c:v>9.8255260110664153</c:v>
                </c:pt>
                <c:pt idx="35">
                  <c:v>10.064755700132251</c:v>
                </c:pt>
                <c:pt idx="36">
                  <c:v>10.308952660644293</c:v>
                </c:pt>
              </c:numCache>
            </c:numRef>
          </c:xVal>
          <c:yVal>
            <c:numRef>
              <c:f>Лист4!$D$1:$D$41</c:f>
              <c:numCache>
                <c:formatCode>General</c:formatCode>
                <c:ptCount val="41"/>
                <c:pt idx="0">
                  <c:v>0.98720799999999997</c:v>
                </c:pt>
                <c:pt idx="1">
                  <c:v>0.97188799999999997</c:v>
                </c:pt>
                <c:pt idx="2">
                  <c:v>0.95159099999999996</c:v>
                </c:pt>
                <c:pt idx="3">
                  <c:v>0.92727099999999996</c:v>
                </c:pt>
                <c:pt idx="4">
                  <c:v>0.89993299999999998</c:v>
                </c:pt>
                <c:pt idx="5">
                  <c:v>0.87054399999999998</c:v>
                </c:pt>
                <c:pt idx="6">
                  <c:v>0.83996599999999999</c:v>
                </c:pt>
                <c:pt idx="7">
                  <c:v>0.80892399999999998</c:v>
                </c:pt>
                <c:pt idx="8">
                  <c:v>0.77799600000000002</c:v>
                </c:pt>
                <c:pt idx="9">
                  <c:v>0.74762300000000004</c:v>
                </c:pt>
                <c:pt idx="10">
                  <c:v>0.71812200000000004</c:v>
                </c:pt>
                <c:pt idx="11">
                  <c:v>0.66251099999999996</c:v>
                </c:pt>
                <c:pt idx="12">
                  <c:v>0.61201899999999998</c:v>
                </c:pt>
                <c:pt idx="13">
                  <c:v>0.56673499999999999</c:v>
                </c:pt>
                <c:pt idx="14">
                  <c:v>0.52635900000000002</c:v>
                </c:pt>
                <c:pt idx="15">
                  <c:v>0.38140000000000002</c:v>
                </c:pt>
                <c:pt idx="16">
                  <c:v>0.29550500000000002</c:v>
                </c:pt>
                <c:pt idx="17">
                  <c:v>0.240096</c:v>
                </c:pt>
                <c:pt idx="18">
                  <c:v>0.20174700000000001</c:v>
                </c:pt>
                <c:pt idx="19">
                  <c:v>0.17374500000000001</c:v>
                </c:pt>
                <c:pt idx="20">
                  <c:v>0.15244199999999999</c:v>
                </c:pt>
                <c:pt idx="21">
                  <c:v>0.13571</c:v>
                </c:pt>
                <c:pt idx="22">
                  <c:v>0.122226</c:v>
                </c:pt>
                <c:pt idx="23">
                  <c:v>9.3951000000000007E-2</c:v>
                </c:pt>
                <c:pt idx="24">
                  <c:v>7.6087000000000002E-2</c:v>
                </c:pt>
                <c:pt idx="25">
                  <c:v>6.046E-2</c:v>
                </c:pt>
                <c:pt idx="26">
                  <c:v>4.5863000000000001E-2</c:v>
                </c:pt>
                <c:pt idx="27">
                  <c:v>3.5385E-2</c:v>
                </c:pt>
                <c:pt idx="28">
                  <c:v>2.6165000000000001E-2</c:v>
                </c:pt>
                <c:pt idx="29">
                  <c:v>1.9389E-2</c:v>
                </c:pt>
                <c:pt idx="30">
                  <c:v>1.4107E-2</c:v>
                </c:pt>
                <c:pt idx="31">
                  <c:v>9.7999999999999997E-3</c:v>
                </c:pt>
                <c:pt idx="32">
                  <c:v>6.8110000000000002E-3</c:v>
                </c:pt>
                <c:pt idx="33">
                  <c:v>4.3889999999999997E-3</c:v>
                </c:pt>
                <c:pt idx="34">
                  <c:v>2.7330000000000002E-3</c:v>
                </c:pt>
                <c:pt idx="35">
                  <c:v>1.64E-3</c:v>
                </c:pt>
                <c:pt idx="36">
                  <c:v>9.2500000000000004E-4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5A03-470D-ACA0-F89BE5E7C630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Лист4!$C$1:$C$37</c:f>
              <c:numCache>
                <c:formatCode>General</c:formatCode>
                <c:ptCount val="37"/>
                <c:pt idx="0">
                  <c:v>2.9957322735539909</c:v>
                </c:pt>
                <c:pt idx="1">
                  <c:v>3.4011973816621555</c:v>
                </c:pt>
                <c:pt idx="2">
                  <c:v>3.6888794541139363</c:v>
                </c:pt>
                <c:pt idx="3">
                  <c:v>3.912023005428146</c:v>
                </c:pt>
                <c:pt idx="4">
                  <c:v>4.0943445622221004</c:v>
                </c:pt>
                <c:pt idx="5">
                  <c:v>4.2484952420493594</c:v>
                </c:pt>
                <c:pt idx="6">
                  <c:v>4.3820266346738812</c:v>
                </c:pt>
                <c:pt idx="7">
                  <c:v>4.499809670330265</c:v>
                </c:pt>
                <c:pt idx="8">
                  <c:v>4.6051701859880918</c:v>
                </c:pt>
                <c:pt idx="9">
                  <c:v>4.7004803657924166</c:v>
                </c:pt>
                <c:pt idx="10">
                  <c:v>4.7874917427820458</c:v>
                </c:pt>
                <c:pt idx="11">
                  <c:v>4.9416424226093039</c:v>
                </c:pt>
                <c:pt idx="12">
                  <c:v>5.0751738152338266</c:v>
                </c:pt>
                <c:pt idx="13">
                  <c:v>5.1929568508902104</c:v>
                </c:pt>
                <c:pt idx="14">
                  <c:v>5.2983173665480363</c:v>
                </c:pt>
                <c:pt idx="15">
                  <c:v>5.7037824746562009</c:v>
                </c:pt>
                <c:pt idx="16">
                  <c:v>5.9914645471079817</c:v>
                </c:pt>
                <c:pt idx="17">
                  <c:v>6.2146080984221914</c:v>
                </c:pt>
                <c:pt idx="18">
                  <c:v>6.3969296552161463</c:v>
                </c:pt>
                <c:pt idx="19">
                  <c:v>6.5510803350434044</c:v>
                </c:pt>
                <c:pt idx="20">
                  <c:v>6.6846117276679271</c:v>
                </c:pt>
                <c:pt idx="21">
                  <c:v>6.8023947633243109</c:v>
                </c:pt>
                <c:pt idx="22">
                  <c:v>6.9077552789821368</c:v>
                </c:pt>
                <c:pt idx="23">
                  <c:v>7.1701195434496281</c:v>
                </c:pt>
                <c:pt idx="24">
                  <c:v>7.3777589082278725</c:v>
                </c:pt>
                <c:pt idx="25">
                  <c:v>7.6009024595420822</c:v>
                </c:pt>
                <c:pt idx="26">
                  <c:v>7.8632667240095735</c:v>
                </c:pt>
                <c:pt idx="27">
                  <c:v>8.1016777474545716</c:v>
                </c:pt>
                <c:pt idx="28">
                  <c:v>8.3663703016816537</c:v>
                </c:pt>
                <c:pt idx="29">
                  <c:v>8.6125033712205621</c:v>
                </c:pt>
                <c:pt idx="30">
                  <c:v>8.8536654280374503</c:v>
                </c:pt>
                <c:pt idx="31">
                  <c:v>9.1049798563183568</c:v>
                </c:pt>
                <c:pt idx="32">
                  <c:v>9.3325580047004326</c:v>
                </c:pt>
                <c:pt idx="33">
                  <c:v>9.581903928408666</c:v>
                </c:pt>
                <c:pt idx="34">
                  <c:v>9.8255260110664153</c:v>
                </c:pt>
                <c:pt idx="35">
                  <c:v>10.064755700132251</c:v>
                </c:pt>
                <c:pt idx="36">
                  <c:v>10.308952660644293</c:v>
                </c:pt>
              </c:numCache>
            </c:numRef>
          </c:xVal>
          <c:yVal>
            <c:numRef>
              <c:f>Лист4!$E$1:$E$37</c:f>
              <c:numCache>
                <c:formatCode>General</c:formatCode>
                <c:ptCount val="37"/>
                <c:pt idx="0">
                  <c:v>0.99586673809244208</c:v>
                </c:pt>
                <c:pt idx="1">
                  <c:v>0.98355214577278116</c:v>
                </c:pt>
                <c:pt idx="2">
                  <c:v>0.96807661888370267</c:v>
                </c:pt>
                <c:pt idx="3">
                  <c:v>0.9498809142375253</c:v>
                </c:pt>
                <c:pt idx="4">
                  <c:v>0.93153366325406539</c:v>
                </c:pt>
                <c:pt idx="5">
                  <c:v>0.91175113283810016</c:v>
                </c:pt>
                <c:pt idx="6">
                  <c:v>0.89086663834706081</c:v>
                </c:pt>
                <c:pt idx="7">
                  <c:v>0.86877905549825096</c:v>
                </c:pt>
                <c:pt idx="8">
                  <c:v>0.84625585691440874</c:v>
                </c:pt>
                <c:pt idx="9">
                  <c:v>0.82351100608358418</c:v>
                </c:pt>
                <c:pt idx="10">
                  <c:v>0.80159288517026162</c:v>
                </c:pt>
                <c:pt idx="11">
                  <c:v>0.75614467816488762</c:v>
                </c:pt>
                <c:pt idx="12">
                  <c:v>0.71230576764076647</c:v>
                </c:pt>
                <c:pt idx="13">
                  <c:v>0.67161602650116936</c:v>
                </c:pt>
                <c:pt idx="14">
                  <c:v>0.63316497795527205</c:v>
                </c:pt>
                <c:pt idx="15">
                  <c:v>0.48074305500048076</c:v>
                </c:pt>
                <c:pt idx="16">
                  <c:v>0.38073452754447112</c:v>
                </c:pt>
                <c:pt idx="17">
                  <c:v>0.31303767364998736</c:v>
                </c:pt>
                <c:pt idx="18">
                  <c:v>0.26532067943559101</c:v>
                </c:pt>
                <c:pt idx="19">
                  <c:v>0.2296254008306142</c:v>
                </c:pt>
                <c:pt idx="20">
                  <c:v>0.20235775850839999</c:v>
                </c:pt>
                <c:pt idx="21">
                  <c:v>0.18072306868054791</c:v>
                </c:pt>
                <c:pt idx="22">
                  <c:v>0.16328094097969276</c:v>
                </c:pt>
                <c:pt idx="23">
                  <c:v>0.12610833251405668</c:v>
                </c:pt>
                <c:pt idx="24">
                  <c:v>0.10255259976341016</c:v>
                </c:pt>
                <c:pt idx="25">
                  <c:v>8.1897891487364122E-2</c:v>
                </c:pt>
                <c:pt idx="26">
                  <c:v>6.267993545635428E-2</c:v>
                </c:pt>
                <c:pt idx="27">
                  <c:v>4.8906026955266677E-2</c:v>
                </c:pt>
                <c:pt idx="28">
                  <c:v>3.692516569698838E-2</c:v>
                </c:pt>
                <c:pt idx="29">
                  <c:v>2.8199750921383701E-2</c:v>
                </c:pt>
                <c:pt idx="30">
                  <c:v>2.1463213951887317E-2</c:v>
                </c:pt>
                <c:pt idx="31">
                  <c:v>1.6070863633465243E-2</c:v>
                </c:pt>
                <c:pt idx="32">
                  <c:v>1.2505441279660807E-2</c:v>
                </c:pt>
                <c:pt idx="33">
                  <c:v>9.8736330934479487E-3</c:v>
                </c:pt>
                <c:pt idx="34">
                  <c:v>8.6612149889457365E-3</c:v>
                </c:pt>
                <c:pt idx="35">
                  <c:v>9.1381362803645231E-3</c:v>
                </c:pt>
                <c:pt idx="36">
                  <c:v>1.6672171808297952E-2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5A03-470D-ACA0-F89BE5E7C6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099408"/>
        <c:axId val="1761104688"/>
      </c:scatterChart>
      <c:valAx>
        <c:axId val="176109940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1104688"/>
        <c:crosses val="autoZero"/>
        <c:crossBetween val="midCat"/>
      </c:valAx>
      <c:valAx>
        <c:axId val="17611046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109940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scatterChart>
        <c:scatterStyle val="smooth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Лист5!$B$2:$B$38</c:f>
              <c:numCache>
                <c:formatCode>General</c:formatCode>
                <c:ptCount val="37"/>
                <c:pt idx="0">
                  <c:v>2.9957322735539909</c:v>
                </c:pt>
                <c:pt idx="1">
                  <c:v>3.4011973816621555</c:v>
                </c:pt>
                <c:pt idx="2">
                  <c:v>3.6888794541139363</c:v>
                </c:pt>
                <c:pt idx="3">
                  <c:v>3.912023005428146</c:v>
                </c:pt>
                <c:pt idx="4">
                  <c:v>4.0943445622221004</c:v>
                </c:pt>
                <c:pt idx="5">
                  <c:v>4.2484952420493594</c:v>
                </c:pt>
                <c:pt idx="6">
                  <c:v>4.3820266346738812</c:v>
                </c:pt>
                <c:pt idx="7">
                  <c:v>4.499809670330265</c:v>
                </c:pt>
                <c:pt idx="8">
                  <c:v>4.6051701859880918</c:v>
                </c:pt>
                <c:pt idx="9">
                  <c:v>4.7004803657924166</c:v>
                </c:pt>
                <c:pt idx="10">
                  <c:v>4.7874917427820458</c:v>
                </c:pt>
                <c:pt idx="11">
                  <c:v>4.9416424226093039</c:v>
                </c:pt>
                <c:pt idx="12">
                  <c:v>5.0751738152338266</c:v>
                </c:pt>
                <c:pt idx="13">
                  <c:v>5.1929568508902104</c:v>
                </c:pt>
                <c:pt idx="14">
                  <c:v>5.2983173665480363</c:v>
                </c:pt>
                <c:pt idx="15">
                  <c:v>5.7037824746562009</c:v>
                </c:pt>
                <c:pt idx="16">
                  <c:v>5.9914645471079817</c:v>
                </c:pt>
                <c:pt idx="17">
                  <c:v>6.2146080984221914</c:v>
                </c:pt>
                <c:pt idx="18">
                  <c:v>6.3969296552161463</c:v>
                </c:pt>
                <c:pt idx="19">
                  <c:v>6.5510803350434044</c:v>
                </c:pt>
                <c:pt idx="20">
                  <c:v>6.6846117276679271</c:v>
                </c:pt>
                <c:pt idx="21">
                  <c:v>6.8023947633243109</c:v>
                </c:pt>
                <c:pt idx="22">
                  <c:v>6.9077552789821368</c:v>
                </c:pt>
                <c:pt idx="23">
                  <c:v>7.1701195434496281</c:v>
                </c:pt>
                <c:pt idx="24">
                  <c:v>7.3777589082278725</c:v>
                </c:pt>
                <c:pt idx="25">
                  <c:v>7.6009024595420822</c:v>
                </c:pt>
                <c:pt idx="26">
                  <c:v>7.8632667240095735</c:v>
                </c:pt>
                <c:pt idx="27">
                  <c:v>8.1016777474545716</c:v>
                </c:pt>
                <c:pt idx="28">
                  <c:v>8.3663703016816537</c:v>
                </c:pt>
                <c:pt idx="29">
                  <c:v>8.6125033712205621</c:v>
                </c:pt>
                <c:pt idx="30">
                  <c:v>8.8536654280374503</c:v>
                </c:pt>
                <c:pt idx="31">
                  <c:v>9.1049798563183568</c:v>
                </c:pt>
                <c:pt idx="32">
                  <c:v>9.3325580047004326</c:v>
                </c:pt>
                <c:pt idx="33">
                  <c:v>9.581903928408666</c:v>
                </c:pt>
                <c:pt idx="34">
                  <c:v>9.8255260110664153</c:v>
                </c:pt>
                <c:pt idx="35">
                  <c:v>10.064755700132251</c:v>
                </c:pt>
                <c:pt idx="36">
                  <c:v>10.308952660644293</c:v>
                </c:pt>
              </c:numCache>
            </c:numRef>
          </c:xVal>
          <c:yVal>
            <c:numRef>
              <c:f>Лист5!$C$2:$C$38</c:f>
              <c:numCache>
                <c:formatCode>General</c:formatCode>
                <c:ptCount val="37"/>
                <c:pt idx="0">
                  <c:v>0.99586673809244208</c:v>
                </c:pt>
                <c:pt idx="1">
                  <c:v>0.98355214577278116</c:v>
                </c:pt>
                <c:pt idx="2">
                  <c:v>0.96807661888370267</c:v>
                </c:pt>
                <c:pt idx="3">
                  <c:v>0.9498809142375253</c:v>
                </c:pt>
                <c:pt idx="4">
                  <c:v>0.93153366325406539</c:v>
                </c:pt>
                <c:pt idx="5">
                  <c:v>0.91175113283810016</c:v>
                </c:pt>
                <c:pt idx="6">
                  <c:v>0.89086663834706081</c:v>
                </c:pt>
                <c:pt idx="7">
                  <c:v>0.86877905549825096</c:v>
                </c:pt>
                <c:pt idx="8">
                  <c:v>0.84625585691440874</c:v>
                </c:pt>
                <c:pt idx="9">
                  <c:v>0.82351100608358418</c:v>
                </c:pt>
                <c:pt idx="10">
                  <c:v>0.80159288517026162</c:v>
                </c:pt>
                <c:pt idx="11">
                  <c:v>0.75614467816488762</c:v>
                </c:pt>
                <c:pt idx="12">
                  <c:v>0.71230576764076647</c:v>
                </c:pt>
                <c:pt idx="13">
                  <c:v>0.67161602650116936</c:v>
                </c:pt>
                <c:pt idx="14">
                  <c:v>0.63316497795527205</c:v>
                </c:pt>
                <c:pt idx="15">
                  <c:v>0.48074305500048076</c:v>
                </c:pt>
                <c:pt idx="16">
                  <c:v>0.38073452754447112</c:v>
                </c:pt>
                <c:pt idx="17">
                  <c:v>0.31303767364998736</c:v>
                </c:pt>
                <c:pt idx="18">
                  <c:v>0.26532067943559101</c:v>
                </c:pt>
                <c:pt idx="19">
                  <c:v>0.2296254008306142</c:v>
                </c:pt>
                <c:pt idx="20">
                  <c:v>0.20235775850839999</c:v>
                </c:pt>
                <c:pt idx="21">
                  <c:v>0.18072306868054791</c:v>
                </c:pt>
                <c:pt idx="22">
                  <c:v>0.16328094097969276</c:v>
                </c:pt>
                <c:pt idx="23">
                  <c:v>0.12610833251405668</c:v>
                </c:pt>
                <c:pt idx="24">
                  <c:v>0.10255259976341016</c:v>
                </c:pt>
                <c:pt idx="25">
                  <c:v>8.1897891487364122E-2</c:v>
                </c:pt>
                <c:pt idx="26">
                  <c:v>6.267993545635428E-2</c:v>
                </c:pt>
                <c:pt idx="27">
                  <c:v>4.8906026955266677E-2</c:v>
                </c:pt>
                <c:pt idx="28">
                  <c:v>3.692516569698838E-2</c:v>
                </c:pt>
                <c:pt idx="29">
                  <c:v>2.8199750921383701E-2</c:v>
                </c:pt>
                <c:pt idx="30">
                  <c:v>2.1463213951887317E-2</c:v>
                </c:pt>
                <c:pt idx="31">
                  <c:v>1.6070863633465243E-2</c:v>
                </c:pt>
                <c:pt idx="32">
                  <c:v>1.2505441279660807E-2</c:v>
                </c:pt>
                <c:pt idx="33">
                  <c:v>9.8736330934479487E-3</c:v>
                </c:pt>
                <c:pt idx="34">
                  <c:v>8.6612149889457365E-3</c:v>
                </c:pt>
                <c:pt idx="35">
                  <c:v>9.1381362803645231E-3</c:v>
                </c:pt>
                <c:pt idx="36">
                  <c:v>1.6672171808297952E-2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0-0488-4F48-9B28-9A7B5FDA628B}"/>
            </c:ext>
          </c:extLst>
        </c:ser>
        <c:ser>
          <c:idx val="1"/>
          <c:order val="1"/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Лист5!$B$2:$B$38</c:f>
              <c:numCache>
                <c:formatCode>General</c:formatCode>
                <c:ptCount val="37"/>
                <c:pt idx="0">
                  <c:v>2.9957322735539909</c:v>
                </c:pt>
                <c:pt idx="1">
                  <c:v>3.4011973816621555</c:v>
                </c:pt>
                <c:pt idx="2">
                  <c:v>3.6888794541139363</c:v>
                </c:pt>
                <c:pt idx="3">
                  <c:v>3.912023005428146</c:v>
                </c:pt>
                <c:pt idx="4">
                  <c:v>4.0943445622221004</c:v>
                </c:pt>
                <c:pt idx="5">
                  <c:v>4.2484952420493594</c:v>
                </c:pt>
                <c:pt idx="6">
                  <c:v>4.3820266346738812</c:v>
                </c:pt>
                <c:pt idx="7">
                  <c:v>4.499809670330265</c:v>
                </c:pt>
                <c:pt idx="8">
                  <c:v>4.6051701859880918</c:v>
                </c:pt>
                <c:pt idx="9">
                  <c:v>4.7004803657924166</c:v>
                </c:pt>
                <c:pt idx="10">
                  <c:v>4.7874917427820458</c:v>
                </c:pt>
                <c:pt idx="11">
                  <c:v>4.9416424226093039</c:v>
                </c:pt>
                <c:pt idx="12">
                  <c:v>5.0751738152338266</c:v>
                </c:pt>
                <c:pt idx="13">
                  <c:v>5.1929568508902104</c:v>
                </c:pt>
                <c:pt idx="14">
                  <c:v>5.2983173665480363</c:v>
                </c:pt>
                <c:pt idx="15">
                  <c:v>5.7037824746562009</c:v>
                </c:pt>
                <c:pt idx="16">
                  <c:v>5.9914645471079817</c:v>
                </c:pt>
                <c:pt idx="17">
                  <c:v>6.2146080984221914</c:v>
                </c:pt>
                <c:pt idx="18">
                  <c:v>6.3969296552161463</c:v>
                </c:pt>
                <c:pt idx="19">
                  <c:v>6.5510803350434044</c:v>
                </c:pt>
                <c:pt idx="20">
                  <c:v>6.6846117276679271</c:v>
                </c:pt>
                <c:pt idx="21">
                  <c:v>6.8023947633243109</c:v>
                </c:pt>
                <c:pt idx="22">
                  <c:v>6.9077552789821368</c:v>
                </c:pt>
                <c:pt idx="23">
                  <c:v>7.1701195434496281</c:v>
                </c:pt>
                <c:pt idx="24">
                  <c:v>7.3777589082278725</c:v>
                </c:pt>
                <c:pt idx="25">
                  <c:v>7.6009024595420822</c:v>
                </c:pt>
                <c:pt idx="26">
                  <c:v>7.8632667240095735</c:v>
                </c:pt>
                <c:pt idx="27">
                  <c:v>8.1016777474545716</c:v>
                </c:pt>
                <c:pt idx="28">
                  <c:v>8.3663703016816537</c:v>
                </c:pt>
                <c:pt idx="29">
                  <c:v>8.6125033712205621</c:v>
                </c:pt>
                <c:pt idx="30">
                  <c:v>8.8536654280374503</c:v>
                </c:pt>
                <c:pt idx="31">
                  <c:v>9.1049798563183568</c:v>
                </c:pt>
                <c:pt idx="32">
                  <c:v>9.3325580047004326</c:v>
                </c:pt>
                <c:pt idx="33">
                  <c:v>9.581903928408666</c:v>
                </c:pt>
                <c:pt idx="34">
                  <c:v>9.8255260110664153</c:v>
                </c:pt>
                <c:pt idx="35">
                  <c:v>10.064755700132251</c:v>
                </c:pt>
                <c:pt idx="36">
                  <c:v>10.308952660644293</c:v>
                </c:pt>
              </c:numCache>
            </c:numRef>
          </c:xVal>
          <c:yVal>
            <c:numRef>
              <c:f>Лист5!$D$2:$D$38</c:f>
              <c:numCache>
                <c:formatCode>General</c:formatCode>
                <c:ptCount val="37"/>
                <c:pt idx="0">
                  <c:v>0.99244399999999999</c:v>
                </c:pt>
                <c:pt idx="1">
                  <c:v>0.983236</c:v>
                </c:pt>
                <c:pt idx="2">
                  <c:v>0.97076399999999996</c:v>
                </c:pt>
                <c:pt idx="3">
                  <c:v>0.95540499999999995</c:v>
                </c:pt>
                <c:pt idx="4">
                  <c:v>0.93758699999999995</c:v>
                </c:pt>
                <c:pt idx="5">
                  <c:v>0.91776199999999997</c:v>
                </c:pt>
                <c:pt idx="6">
                  <c:v>0.89637800000000001</c:v>
                </c:pt>
                <c:pt idx="7">
                  <c:v>0.87385999999999997</c:v>
                </c:pt>
                <c:pt idx="8">
                  <c:v>0.85059700000000005</c:v>
                </c:pt>
                <c:pt idx="9">
                  <c:v>0.82692699999999997</c:v>
                </c:pt>
                <c:pt idx="10">
                  <c:v>0.80314099999999999</c:v>
                </c:pt>
                <c:pt idx="11">
                  <c:v>0.756135</c:v>
                </c:pt>
                <c:pt idx="12">
                  <c:v>0.71095900000000001</c:v>
                </c:pt>
                <c:pt idx="13">
                  <c:v>0.66840299999999997</c:v>
                </c:pt>
                <c:pt idx="14">
                  <c:v>0.62883500000000003</c:v>
                </c:pt>
                <c:pt idx="15">
                  <c:v>0.47452100000000003</c:v>
                </c:pt>
                <c:pt idx="16">
                  <c:v>0.37475799999999998</c:v>
                </c:pt>
                <c:pt idx="17">
                  <c:v>0.30760300000000002</c:v>
                </c:pt>
                <c:pt idx="18">
                  <c:v>0.26003599999999999</c:v>
                </c:pt>
                <c:pt idx="19">
                  <c:v>0.224824</c:v>
                </c:pt>
                <c:pt idx="20">
                  <c:v>0.19780300000000001</c:v>
                </c:pt>
                <c:pt idx="21">
                  <c:v>0.176456</c:v>
                </c:pt>
                <c:pt idx="22">
                  <c:v>0.15918599999999999</c:v>
                </c:pt>
                <c:pt idx="23">
                  <c:v>0.12281599999999999</c:v>
                </c:pt>
                <c:pt idx="24">
                  <c:v>9.9765000000000006E-2</c:v>
                </c:pt>
                <c:pt idx="25">
                  <c:v>7.9587000000000005E-2</c:v>
                </c:pt>
                <c:pt idx="26">
                  <c:v>6.0763999999999999E-2</c:v>
                </c:pt>
                <c:pt idx="27">
                  <c:v>4.7294000000000003E-2</c:v>
                </c:pt>
                <c:pt idx="28">
                  <c:v>3.5484000000000002E-2</c:v>
                </c:pt>
                <c:pt idx="29">
                  <c:v>2.682E-2</c:v>
                </c:pt>
                <c:pt idx="30">
                  <c:v>2.0035000000000001E-2</c:v>
                </c:pt>
                <c:pt idx="31">
                  <c:v>1.4418E-2</c:v>
                </c:pt>
                <c:pt idx="32">
                  <c:v>1.0404999999999999E-2</c:v>
                </c:pt>
                <c:pt idx="33">
                  <c:v>7.0179999999999999E-3</c:v>
                </c:pt>
                <c:pt idx="34">
                  <c:v>4.5840000000000004E-3</c:v>
                </c:pt>
                <c:pt idx="35">
                  <c:v>2.892E-3</c:v>
                </c:pt>
                <c:pt idx="36">
                  <c:v>1.7260000000000001E-3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1-0488-4F48-9B28-9A7B5FDA628B}"/>
            </c:ext>
          </c:extLst>
        </c:ser>
        <c:ser>
          <c:idx val="2"/>
          <c:order val="2"/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Лист5!$B$2:$B$38</c:f>
              <c:numCache>
                <c:formatCode>General</c:formatCode>
                <c:ptCount val="37"/>
                <c:pt idx="0">
                  <c:v>2.9957322735539909</c:v>
                </c:pt>
                <c:pt idx="1">
                  <c:v>3.4011973816621555</c:v>
                </c:pt>
                <c:pt idx="2">
                  <c:v>3.6888794541139363</c:v>
                </c:pt>
                <c:pt idx="3">
                  <c:v>3.912023005428146</c:v>
                </c:pt>
                <c:pt idx="4">
                  <c:v>4.0943445622221004</c:v>
                </c:pt>
                <c:pt idx="5">
                  <c:v>4.2484952420493594</c:v>
                </c:pt>
                <c:pt idx="6">
                  <c:v>4.3820266346738812</c:v>
                </c:pt>
                <c:pt idx="7">
                  <c:v>4.499809670330265</c:v>
                </c:pt>
                <c:pt idx="8">
                  <c:v>4.6051701859880918</c:v>
                </c:pt>
                <c:pt idx="9">
                  <c:v>4.7004803657924166</c:v>
                </c:pt>
                <c:pt idx="10">
                  <c:v>4.7874917427820458</c:v>
                </c:pt>
                <c:pt idx="11">
                  <c:v>4.9416424226093039</c:v>
                </c:pt>
                <c:pt idx="12">
                  <c:v>5.0751738152338266</c:v>
                </c:pt>
                <c:pt idx="13">
                  <c:v>5.1929568508902104</c:v>
                </c:pt>
                <c:pt idx="14">
                  <c:v>5.2983173665480363</c:v>
                </c:pt>
                <c:pt idx="15">
                  <c:v>5.7037824746562009</c:v>
                </c:pt>
                <c:pt idx="16">
                  <c:v>5.9914645471079817</c:v>
                </c:pt>
                <c:pt idx="17">
                  <c:v>6.2146080984221914</c:v>
                </c:pt>
                <c:pt idx="18">
                  <c:v>6.3969296552161463</c:v>
                </c:pt>
                <c:pt idx="19">
                  <c:v>6.5510803350434044</c:v>
                </c:pt>
                <c:pt idx="20">
                  <c:v>6.6846117276679271</c:v>
                </c:pt>
                <c:pt idx="21">
                  <c:v>6.8023947633243109</c:v>
                </c:pt>
                <c:pt idx="22">
                  <c:v>6.9077552789821368</c:v>
                </c:pt>
                <c:pt idx="23">
                  <c:v>7.1701195434496281</c:v>
                </c:pt>
                <c:pt idx="24">
                  <c:v>7.3777589082278725</c:v>
                </c:pt>
                <c:pt idx="25">
                  <c:v>7.6009024595420822</c:v>
                </c:pt>
                <c:pt idx="26">
                  <c:v>7.8632667240095735</c:v>
                </c:pt>
                <c:pt idx="27">
                  <c:v>8.1016777474545716</c:v>
                </c:pt>
                <c:pt idx="28">
                  <c:v>8.3663703016816537</c:v>
                </c:pt>
                <c:pt idx="29">
                  <c:v>8.6125033712205621</c:v>
                </c:pt>
                <c:pt idx="30">
                  <c:v>8.8536654280374503</c:v>
                </c:pt>
                <c:pt idx="31">
                  <c:v>9.1049798563183568</c:v>
                </c:pt>
                <c:pt idx="32">
                  <c:v>9.3325580047004326</c:v>
                </c:pt>
                <c:pt idx="33">
                  <c:v>9.581903928408666</c:v>
                </c:pt>
                <c:pt idx="34">
                  <c:v>9.8255260110664153</c:v>
                </c:pt>
                <c:pt idx="35">
                  <c:v>10.064755700132251</c:v>
                </c:pt>
                <c:pt idx="36">
                  <c:v>10.308952660644293</c:v>
                </c:pt>
              </c:numCache>
            </c:numRef>
          </c:xVal>
          <c:yVal>
            <c:numRef>
              <c:f>Лист5!$E$2:$E$38</c:f>
              <c:numCache>
                <c:formatCode>General</c:formatCode>
                <c:ptCount val="37"/>
                <c:pt idx="0">
                  <c:v>0.98806000000000005</c:v>
                </c:pt>
                <c:pt idx="1">
                  <c:v>0.973719</c:v>
                </c:pt>
                <c:pt idx="2">
                  <c:v>0.95465199999999995</c:v>
                </c:pt>
                <c:pt idx="3">
                  <c:v>0.93170699999999995</c:v>
                </c:pt>
                <c:pt idx="4">
                  <c:v>0.90578800000000004</c:v>
                </c:pt>
                <c:pt idx="5">
                  <c:v>0.87777799999999995</c:v>
                </c:pt>
                <c:pt idx="6">
                  <c:v>0.84847600000000001</c:v>
                </c:pt>
                <c:pt idx="7">
                  <c:v>0.81857000000000002</c:v>
                </c:pt>
                <c:pt idx="8">
                  <c:v>0.78861800000000004</c:v>
                </c:pt>
                <c:pt idx="9">
                  <c:v>0.75905599999999995</c:v>
                </c:pt>
                <c:pt idx="10">
                  <c:v>0.73020799999999997</c:v>
                </c:pt>
                <c:pt idx="11">
                  <c:v>0.67548200000000003</c:v>
                </c:pt>
                <c:pt idx="12">
                  <c:v>0.62542200000000003</c:v>
                </c:pt>
                <c:pt idx="13">
                  <c:v>0.58024399999999998</c:v>
                </c:pt>
                <c:pt idx="14">
                  <c:v>0.53975399999999996</c:v>
                </c:pt>
                <c:pt idx="15">
                  <c:v>0.39295999999999998</c:v>
                </c:pt>
                <c:pt idx="16">
                  <c:v>0.30510900000000002</c:v>
                </c:pt>
                <c:pt idx="17">
                  <c:v>0.24817400000000001</c:v>
                </c:pt>
                <c:pt idx="18">
                  <c:v>0.208671</c:v>
                </c:pt>
                <c:pt idx="19">
                  <c:v>0.179785</c:v>
                </c:pt>
                <c:pt idx="20">
                  <c:v>0.15779099999999999</c:v>
                </c:pt>
                <c:pt idx="21">
                  <c:v>0.14050499999999999</c:v>
                </c:pt>
                <c:pt idx="22">
                  <c:v>0.12656899999999999</c:v>
                </c:pt>
                <c:pt idx="23">
                  <c:v>9.7336000000000006E-2</c:v>
                </c:pt>
                <c:pt idx="24">
                  <c:v>7.8863000000000003E-2</c:v>
                </c:pt>
                <c:pt idx="25">
                  <c:v>6.2701999999999994E-2</c:v>
                </c:pt>
                <c:pt idx="26">
                  <c:v>4.7612000000000002E-2</c:v>
                </c:pt>
                <c:pt idx="27">
                  <c:v>3.6784999999999998E-2</c:v>
                </c:pt>
                <c:pt idx="28">
                  <c:v>2.7262000000000002E-2</c:v>
                </c:pt>
                <c:pt idx="29">
                  <c:v>2.0263E-2</c:v>
                </c:pt>
                <c:pt idx="30">
                  <c:v>1.4801E-2</c:v>
                </c:pt>
                <c:pt idx="31">
                  <c:v>1.0335E-2</c:v>
                </c:pt>
                <c:pt idx="32">
                  <c:v>7.221E-3</c:v>
                </c:pt>
                <c:pt idx="33">
                  <c:v>4.6810000000000003E-3</c:v>
                </c:pt>
                <c:pt idx="34">
                  <c:v>2.934E-3</c:v>
                </c:pt>
                <c:pt idx="35">
                  <c:v>1.7730000000000001E-3</c:v>
                </c:pt>
                <c:pt idx="36">
                  <c:v>1.008E-3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2-0488-4F48-9B28-9A7B5FDA628B}"/>
            </c:ext>
          </c:extLst>
        </c:ser>
        <c:ser>
          <c:idx val="3"/>
          <c:order val="3"/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Лист5!$B$2:$B$38</c:f>
              <c:numCache>
                <c:formatCode>General</c:formatCode>
                <c:ptCount val="37"/>
                <c:pt idx="0">
                  <c:v>2.9957322735539909</c:v>
                </c:pt>
                <c:pt idx="1">
                  <c:v>3.4011973816621555</c:v>
                </c:pt>
                <c:pt idx="2">
                  <c:v>3.6888794541139363</c:v>
                </c:pt>
                <c:pt idx="3">
                  <c:v>3.912023005428146</c:v>
                </c:pt>
                <c:pt idx="4">
                  <c:v>4.0943445622221004</c:v>
                </c:pt>
                <c:pt idx="5">
                  <c:v>4.2484952420493594</c:v>
                </c:pt>
                <c:pt idx="6">
                  <c:v>4.3820266346738812</c:v>
                </c:pt>
                <c:pt idx="7">
                  <c:v>4.499809670330265</c:v>
                </c:pt>
                <c:pt idx="8">
                  <c:v>4.6051701859880918</c:v>
                </c:pt>
                <c:pt idx="9">
                  <c:v>4.7004803657924166</c:v>
                </c:pt>
                <c:pt idx="10">
                  <c:v>4.7874917427820458</c:v>
                </c:pt>
                <c:pt idx="11">
                  <c:v>4.9416424226093039</c:v>
                </c:pt>
                <c:pt idx="12">
                  <c:v>5.0751738152338266</c:v>
                </c:pt>
                <c:pt idx="13">
                  <c:v>5.1929568508902104</c:v>
                </c:pt>
                <c:pt idx="14">
                  <c:v>5.2983173665480363</c:v>
                </c:pt>
                <c:pt idx="15">
                  <c:v>5.7037824746562009</c:v>
                </c:pt>
                <c:pt idx="16">
                  <c:v>5.9914645471079817</c:v>
                </c:pt>
                <c:pt idx="17">
                  <c:v>6.2146080984221914</c:v>
                </c:pt>
                <c:pt idx="18">
                  <c:v>6.3969296552161463</c:v>
                </c:pt>
                <c:pt idx="19">
                  <c:v>6.5510803350434044</c:v>
                </c:pt>
                <c:pt idx="20">
                  <c:v>6.6846117276679271</c:v>
                </c:pt>
                <c:pt idx="21">
                  <c:v>6.8023947633243109</c:v>
                </c:pt>
                <c:pt idx="22">
                  <c:v>6.9077552789821368</c:v>
                </c:pt>
                <c:pt idx="23">
                  <c:v>7.1701195434496281</c:v>
                </c:pt>
                <c:pt idx="24">
                  <c:v>7.3777589082278725</c:v>
                </c:pt>
                <c:pt idx="25">
                  <c:v>7.6009024595420822</c:v>
                </c:pt>
                <c:pt idx="26">
                  <c:v>7.8632667240095735</c:v>
                </c:pt>
                <c:pt idx="27">
                  <c:v>8.1016777474545716</c:v>
                </c:pt>
                <c:pt idx="28">
                  <c:v>8.3663703016816537</c:v>
                </c:pt>
                <c:pt idx="29">
                  <c:v>8.6125033712205621</c:v>
                </c:pt>
                <c:pt idx="30">
                  <c:v>8.8536654280374503</c:v>
                </c:pt>
                <c:pt idx="31">
                  <c:v>9.1049798563183568</c:v>
                </c:pt>
                <c:pt idx="32">
                  <c:v>9.3325580047004326</c:v>
                </c:pt>
                <c:pt idx="33">
                  <c:v>9.581903928408666</c:v>
                </c:pt>
                <c:pt idx="34">
                  <c:v>9.8255260110664153</c:v>
                </c:pt>
                <c:pt idx="35">
                  <c:v>10.064755700132251</c:v>
                </c:pt>
                <c:pt idx="36">
                  <c:v>10.308952660644293</c:v>
                </c:pt>
              </c:numCache>
            </c:numRef>
          </c:xVal>
          <c:yVal>
            <c:numRef>
              <c:f>Лист5!$F$2:$F$38</c:f>
              <c:numCache>
                <c:formatCode>General</c:formatCode>
                <c:ptCount val="37"/>
                <c:pt idx="0">
                  <c:v>0.98264200000000002</c:v>
                </c:pt>
                <c:pt idx="1">
                  <c:v>0.96216400000000002</c:v>
                </c:pt>
                <c:pt idx="2">
                  <c:v>0.93553299999999995</c:v>
                </c:pt>
                <c:pt idx="3">
                  <c:v>0.90433300000000005</c:v>
                </c:pt>
                <c:pt idx="4">
                  <c:v>0.87012900000000004</c:v>
                </c:pt>
                <c:pt idx="5">
                  <c:v>0.83430899999999997</c:v>
                </c:pt>
                <c:pt idx="6">
                  <c:v>0.79800800000000005</c:v>
                </c:pt>
                <c:pt idx="7">
                  <c:v>0.76209000000000005</c:v>
                </c:pt>
                <c:pt idx="8">
                  <c:v>0.72716899999999995</c:v>
                </c:pt>
                <c:pt idx="9">
                  <c:v>0.69365200000000005</c:v>
                </c:pt>
                <c:pt idx="10">
                  <c:v>0.66177900000000001</c:v>
                </c:pt>
                <c:pt idx="11">
                  <c:v>0.60335899999999998</c:v>
                </c:pt>
                <c:pt idx="12">
                  <c:v>0.55199600000000004</c:v>
                </c:pt>
                <c:pt idx="13">
                  <c:v>0.50712699999999999</c:v>
                </c:pt>
                <c:pt idx="14">
                  <c:v>0.46797</c:v>
                </c:pt>
                <c:pt idx="15">
                  <c:v>0.33277400000000001</c:v>
                </c:pt>
                <c:pt idx="16">
                  <c:v>0.25572699999999998</c:v>
                </c:pt>
                <c:pt idx="17">
                  <c:v>0.206897</c:v>
                </c:pt>
                <c:pt idx="18">
                  <c:v>0.17341100000000001</c:v>
                </c:pt>
                <c:pt idx="19">
                  <c:v>0.14909</c:v>
                </c:pt>
                <c:pt idx="20">
                  <c:v>0.13064799999999999</c:v>
                </c:pt>
                <c:pt idx="21">
                  <c:v>0.116192</c:v>
                </c:pt>
                <c:pt idx="22">
                  <c:v>0.104559</c:v>
                </c:pt>
                <c:pt idx="23">
                  <c:v>8.0194000000000001E-2</c:v>
                </c:pt>
                <c:pt idx="24">
                  <c:v>6.4809000000000005E-2</c:v>
                </c:pt>
                <c:pt idx="25">
                  <c:v>5.1340999999999998E-2</c:v>
                </c:pt>
                <c:pt idx="26">
                  <c:v>3.8741999999999999E-2</c:v>
                </c:pt>
                <c:pt idx="27">
                  <c:v>2.9678E-2</c:v>
                </c:pt>
                <c:pt idx="28">
                  <c:v>2.1690000000000001E-2</c:v>
                </c:pt>
                <c:pt idx="29">
                  <c:v>1.5831000000000001E-2</c:v>
                </c:pt>
                <c:pt idx="30">
                  <c:v>1.1299E-2</c:v>
                </c:pt>
                <c:pt idx="31">
                  <c:v>7.6639999999999998E-3</c:v>
                </c:pt>
                <c:pt idx="32">
                  <c:v>5.1999999999999998E-3</c:v>
                </c:pt>
                <c:pt idx="33">
                  <c:v>3.2560000000000002E-3</c:v>
                </c:pt>
                <c:pt idx="34">
                  <c:v>1.9689999999999998E-3</c:v>
                </c:pt>
                <c:pt idx="35">
                  <c:v>1.1440000000000001E-3</c:v>
                </c:pt>
                <c:pt idx="36">
                  <c:v>6.2299999999999996E-4</c:v>
                </c:pt>
              </c:numCache>
            </c:numRef>
          </c:yVal>
          <c:smooth val="1"/>
          <c:extLst>
            <c:ext xmlns:c16="http://schemas.microsoft.com/office/drawing/2014/chart" uri="{C3380CC4-5D6E-409C-BE32-E72D297353CC}">
              <c16:uniqueId val="{00000003-0488-4F48-9B28-9A7B5FDA6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61098448"/>
        <c:axId val="1761101328"/>
      </c:scatterChart>
      <c:valAx>
        <c:axId val="17610984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1101328"/>
        <c:crosses val="autoZero"/>
        <c:crossBetween val="midCat"/>
      </c:valAx>
      <c:valAx>
        <c:axId val="17611013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761098448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chart" Target="../charts/chart6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7.xml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266700</xdr:colOff>
      <xdr:row>5</xdr:row>
      <xdr:rowOff>22860</xdr:rowOff>
    </xdr:from>
    <xdr:to>
      <xdr:col>13</xdr:col>
      <xdr:colOff>144780</xdr:colOff>
      <xdr:row>29</xdr:row>
      <xdr:rowOff>160020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806B0AA6-E070-898B-F19F-14C5CA367BE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381000</xdr:colOff>
      <xdr:row>14</xdr:row>
      <xdr:rowOff>102870</xdr:rowOff>
    </xdr:from>
    <xdr:to>
      <xdr:col>14</xdr:col>
      <xdr:colOff>76200</xdr:colOff>
      <xdr:row>29</xdr:row>
      <xdr:rowOff>102870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1BA0E9CB-2A57-A951-033C-75F011FC959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533400</xdr:colOff>
      <xdr:row>8</xdr:row>
      <xdr:rowOff>133350</xdr:rowOff>
    </xdr:from>
    <xdr:to>
      <xdr:col>15</xdr:col>
      <xdr:colOff>228600</xdr:colOff>
      <xdr:row>23</xdr:row>
      <xdr:rowOff>133350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8DEFF3E-AD9A-CA1C-06C6-9F43D64DAF9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502920</xdr:colOff>
      <xdr:row>5</xdr:row>
      <xdr:rowOff>76200</xdr:rowOff>
    </xdr:from>
    <xdr:to>
      <xdr:col>21</xdr:col>
      <xdr:colOff>198120</xdr:colOff>
      <xdr:row>24</xdr:row>
      <xdr:rowOff>7620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BF6B0994-27B4-C75D-F2D2-3BED0B70D91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228600</xdr:colOff>
      <xdr:row>12</xdr:row>
      <xdr:rowOff>148590</xdr:rowOff>
    </xdr:from>
    <xdr:to>
      <xdr:col>14</xdr:col>
      <xdr:colOff>144780</xdr:colOff>
      <xdr:row>30</xdr:row>
      <xdr:rowOff>38100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BFCB873B-A605-43FF-BDF0-7655B7A1B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7620</xdr:colOff>
      <xdr:row>1</xdr:row>
      <xdr:rowOff>30480</xdr:rowOff>
    </xdr:from>
    <xdr:to>
      <xdr:col>23</xdr:col>
      <xdr:colOff>495300</xdr:colOff>
      <xdr:row>21</xdr:row>
      <xdr:rowOff>60960</xdr:rowOff>
    </xdr:to>
    <xdr:graphicFrame macro="">
      <xdr:nvGraphicFramePr>
        <xdr:cNvPr id="8" name="Диаграмма 7">
          <a:extLst>
            <a:ext uri="{FF2B5EF4-FFF2-40B4-BE49-F238E27FC236}">
              <a16:creationId xmlns:a16="http://schemas.microsoft.com/office/drawing/2014/main" id="{98D91130-04FC-B9B2-D0FB-8274D972E6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27</xdr:row>
      <xdr:rowOff>30480</xdr:rowOff>
    </xdr:from>
    <xdr:to>
      <xdr:col>12</xdr:col>
      <xdr:colOff>533400</xdr:colOff>
      <xdr:row>54</xdr:row>
      <xdr:rowOff>106680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4EE3E25F-3BE2-F185-A654-0C7583C5B05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449580</xdr:colOff>
      <xdr:row>0</xdr:row>
      <xdr:rowOff>76200</xdr:rowOff>
    </xdr:from>
    <xdr:to>
      <xdr:col>21</xdr:col>
      <xdr:colOff>548640</xdr:colOff>
      <xdr:row>32</xdr:row>
      <xdr:rowOff>144780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665DCD96-EB57-74E9-0AA5-25257CDE6DD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F212E-A7F1-4ADA-A30C-FF5C592C5D9E}">
  <dimension ref="A1:T23"/>
  <sheetViews>
    <sheetView workbookViewId="0">
      <selection activeCell="P1" sqref="P1:R15"/>
    </sheetView>
  </sheetViews>
  <sheetFormatPr defaultRowHeight="14.4" x14ac:dyDescent="0.3"/>
  <sheetData>
    <row r="1" spans="1:20" x14ac:dyDescent="0.3">
      <c r="A1" t="s">
        <v>0</v>
      </c>
      <c r="B1" t="s">
        <v>1</v>
      </c>
      <c r="C1" t="s">
        <v>2</v>
      </c>
      <c r="D1" t="s">
        <v>7</v>
      </c>
      <c r="E1" t="s">
        <v>9</v>
      </c>
      <c r="F1" t="s">
        <v>8</v>
      </c>
      <c r="I1" t="s">
        <v>0</v>
      </c>
      <c r="J1" t="s">
        <v>1</v>
      </c>
      <c r="K1" t="s">
        <v>2</v>
      </c>
      <c r="L1" t="s">
        <v>3</v>
      </c>
      <c r="P1" t="s">
        <v>0</v>
      </c>
      <c r="Q1" t="s">
        <v>1</v>
      </c>
      <c r="R1" t="s">
        <v>2</v>
      </c>
      <c r="S1" t="s">
        <v>3</v>
      </c>
    </row>
    <row r="2" spans="1:20" x14ac:dyDescent="0.3">
      <c r="A2">
        <v>20</v>
      </c>
      <c r="B2">
        <v>238.61</v>
      </c>
      <c r="C2">
        <v>6.7199999999999996E-2</v>
      </c>
      <c r="D2">
        <f>C2/A2/B2*1000</f>
        <v>1.408155567662713E-2</v>
      </c>
      <c r="E2">
        <f>A2*A2</f>
        <v>400</v>
      </c>
      <c r="F2">
        <f>1/D2/D2</f>
        <v>5043.1133166808404</v>
      </c>
      <c r="I2">
        <v>100</v>
      </c>
      <c r="J2">
        <v>208.21</v>
      </c>
      <c r="K2">
        <v>0.24929999999999999</v>
      </c>
      <c r="L2">
        <v>0.66</v>
      </c>
      <c r="P2">
        <v>100</v>
      </c>
      <c r="Q2">
        <v>413.89</v>
      </c>
      <c r="R2">
        <v>0.49440000000000001</v>
      </c>
      <c r="S2">
        <v>0.64</v>
      </c>
      <c r="T2">
        <f>S2*3.14+3.14/2</f>
        <v>3.5796000000000001</v>
      </c>
    </row>
    <row r="3" spans="1:20" x14ac:dyDescent="0.3">
      <c r="A3">
        <v>30</v>
      </c>
      <c r="B3">
        <v>232.25</v>
      </c>
      <c r="C3">
        <v>9.69E-2</v>
      </c>
      <c r="D3">
        <f t="shared" ref="D3:D14" si="0">C3/A3/B3*1000</f>
        <v>1.3907427341227125E-2</v>
      </c>
      <c r="E3">
        <f t="shared" ref="E3:E14" si="1">A3*A3</f>
        <v>900</v>
      </c>
      <c r="F3">
        <f t="shared" ref="F3:F14" si="2">1/D3/D3</f>
        <v>5170.1887778086639</v>
      </c>
      <c r="I3">
        <v>120</v>
      </c>
      <c r="J3">
        <v>201.67</v>
      </c>
      <c r="K3">
        <v>0.27429999999999999</v>
      </c>
      <c r="L3">
        <v>0.67</v>
      </c>
      <c r="P3">
        <v>120</v>
      </c>
      <c r="Q3">
        <v>400.52</v>
      </c>
      <c r="R3">
        <v>0.54430000000000001</v>
      </c>
      <c r="S3">
        <v>0.7</v>
      </c>
      <c r="T3">
        <f t="shared" ref="T3:T15" si="3">S3*3.14+3.14/2</f>
        <v>3.7679999999999998</v>
      </c>
    </row>
    <row r="4" spans="1:20" x14ac:dyDescent="0.3">
      <c r="A4">
        <v>40</v>
      </c>
      <c r="B4">
        <v>228.84</v>
      </c>
      <c r="C4">
        <v>0.12529999999999999</v>
      </c>
      <c r="D4">
        <f t="shared" si="0"/>
        <v>1.3688603391015556E-2</v>
      </c>
      <c r="E4">
        <f t="shared" si="1"/>
        <v>1600</v>
      </c>
      <c r="F4">
        <f t="shared" si="2"/>
        <v>5336.8097227468133</v>
      </c>
      <c r="I4">
        <v>140</v>
      </c>
      <c r="J4">
        <v>196.11</v>
      </c>
      <c r="K4">
        <v>0.29354999999999998</v>
      </c>
      <c r="L4">
        <v>0.72</v>
      </c>
      <c r="P4">
        <v>140</v>
      </c>
      <c r="Q4">
        <v>389.43</v>
      </c>
      <c r="R4">
        <v>0.58289999999999997</v>
      </c>
      <c r="S4">
        <v>0.72</v>
      </c>
      <c r="T4">
        <f t="shared" si="3"/>
        <v>3.8308</v>
      </c>
    </row>
    <row r="5" spans="1:20" x14ac:dyDescent="0.3">
      <c r="A5">
        <v>50</v>
      </c>
      <c r="B5">
        <v>225.89</v>
      </c>
      <c r="C5">
        <v>0.1517</v>
      </c>
      <c r="D5">
        <f t="shared" si="0"/>
        <v>1.3431316127318607E-2</v>
      </c>
      <c r="E5">
        <f t="shared" si="1"/>
        <v>2500</v>
      </c>
      <c r="F5">
        <f t="shared" si="2"/>
        <v>5543.2294792179509</v>
      </c>
      <c r="I5">
        <v>160</v>
      </c>
      <c r="J5">
        <v>191.31</v>
      </c>
      <c r="K5">
        <v>0.30830000000000002</v>
      </c>
      <c r="P5">
        <v>160</v>
      </c>
      <c r="Q5">
        <v>379.81</v>
      </c>
      <c r="R5">
        <v>0.61419999999999997</v>
      </c>
      <c r="S5">
        <v>0.75</v>
      </c>
      <c r="T5">
        <f t="shared" si="3"/>
        <v>3.9249999999999998</v>
      </c>
    </row>
    <row r="6" spans="1:20" x14ac:dyDescent="0.3">
      <c r="A6">
        <v>60</v>
      </c>
      <c r="B6">
        <v>222.57</v>
      </c>
      <c r="C6">
        <v>0.1759</v>
      </c>
      <c r="D6">
        <f t="shared" si="0"/>
        <v>1.3171885998412484E-2</v>
      </c>
      <c r="E6">
        <f t="shared" si="1"/>
        <v>3600</v>
      </c>
      <c r="F6">
        <f t="shared" si="2"/>
        <v>5763.7359086591468</v>
      </c>
      <c r="P6">
        <v>180</v>
      </c>
      <c r="Q6">
        <v>371.71</v>
      </c>
      <c r="R6">
        <v>0.63539999999999996</v>
      </c>
      <c r="S6">
        <v>0.79</v>
      </c>
      <c r="T6">
        <f t="shared" si="3"/>
        <v>4.0506000000000002</v>
      </c>
    </row>
    <row r="7" spans="1:20" x14ac:dyDescent="0.3">
      <c r="A7">
        <v>70</v>
      </c>
      <c r="B7">
        <v>219.07</v>
      </c>
      <c r="C7">
        <v>0.19769999999999999</v>
      </c>
      <c r="D7">
        <f t="shared" si="0"/>
        <v>1.2892161018330735E-2</v>
      </c>
      <c r="E7">
        <f t="shared" si="1"/>
        <v>4900</v>
      </c>
      <c r="F7">
        <f t="shared" si="2"/>
        <v>6016.5642370825444</v>
      </c>
      <c r="P7">
        <v>200</v>
      </c>
      <c r="Q7">
        <v>364.74</v>
      </c>
      <c r="R7">
        <v>0.65310000000000001</v>
      </c>
      <c r="S7">
        <v>0.8</v>
      </c>
      <c r="T7">
        <f t="shared" si="3"/>
        <v>4.0820000000000007</v>
      </c>
    </row>
    <row r="8" spans="1:20" x14ac:dyDescent="0.3">
      <c r="A8">
        <v>80</v>
      </c>
      <c r="B8">
        <v>215.53</v>
      </c>
      <c r="C8">
        <v>0.2172</v>
      </c>
      <c r="D8">
        <f t="shared" si="0"/>
        <v>1.259685426622744E-2</v>
      </c>
      <c r="E8">
        <f t="shared" si="1"/>
        <v>6400</v>
      </c>
      <c r="F8">
        <f t="shared" si="2"/>
        <v>6301.9621433343837</v>
      </c>
      <c r="P8">
        <v>300</v>
      </c>
      <c r="Q8">
        <v>341.88</v>
      </c>
      <c r="R8">
        <v>0.69720000000000004</v>
      </c>
      <c r="S8">
        <v>0.88</v>
      </c>
      <c r="T8">
        <f t="shared" si="3"/>
        <v>4.3332000000000006</v>
      </c>
    </row>
    <row r="9" spans="1:20" x14ac:dyDescent="0.3">
      <c r="A9">
        <v>90</v>
      </c>
      <c r="B9">
        <v>212.01</v>
      </c>
      <c r="C9">
        <v>0.2344</v>
      </c>
      <c r="D9">
        <f t="shared" si="0"/>
        <v>1.2284535844745268E-2</v>
      </c>
      <c r="E9">
        <f t="shared" si="1"/>
        <v>8100</v>
      </c>
      <c r="F9">
        <f t="shared" si="2"/>
        <v>6626.4739690109973</v>
      </c>
      <c r="P9">
        <v>400</v>
      </c>
      <c r="Q9">
        <v>328.87</v>
      </c>
      <c r="R9">
        <v>0.70820000000000005</v>
      </c>
      <c r="S9">
        <v>0.96</v>
      </c>
      <c r="T9">
        <f t="shared" si="3"/>
        <v>4.5844000000000005</v>
      </c>
    </row>
    <row r="10" spans="1:20" x14ac:dyDescent="0.3">
      <c r="A10">
        <v>100</v>
      </c>
      <c r="B10">
        <v>208.59</v>
      </c>
      <c r="C10">
        <v>0.24959999999999999</v>
      </c>
      <c r="D10">
        <f t="shared" si="0"/>
        <v>1.1966057816769739E-2</v>
      </c>
      <c r="E10">
        <f t="shared" si="1"/>
        <v>10000</v>
      </c>
      <c r="F10">
        <f t="shared" si="2"/>
        <v>6983.8966866216724</v>
      </c>
      <c r="P10">
        <v>500</v>
      </c>
      <c r="Q10">
        <v>319.36</v>
      </c>
      <c r="R10">
        <v>0.70679999999999998</v>
      </c>
      <c r="S10">
        <v>0.98</v>
      </c>
      <c r="T10">
        <f t="shared" si="3"/>
        <v>4.6471999999999998</v>
      </c>
    </row>
    <row r="11" spans="1:20" x14ac:dyDescent="0.3">
      <c r="A11">
        <v>110</v>
      </c>
      <c r="B11">
        <v>205.17</v>
      </c>
      <c r="C11">
        <v>0.26279999999999998</v>
      </c>
      <c r="D11">
        <f t="shared" si="0"/>
        <v>1.164444562602188E-2</v>
      </c>
      <c r="E11">
        <f t="shared" si="1"/>
        <v>12100</v>
      </c>
      <c r="F11">
        <f t="shared" si="2"/>
        <v>7375.0057872542275</v>
      </c>
      <c r="P11">
        <v>600</v>
      </c>
      <c r="Q11">
        <v>311.02</v>
      </c>
      <c r="R11">
        <v>0.70009999999999994</v>
      </c>
      <c r="S11">
        <v>1</v>
      </c>
      <c r="T11">
        <f t="shared" si="3"/>
        <v>4.71</v>
      </c>
    </row>
    <row r="12" spans="1:20" x14ac:dyDescent="0.3">
      <c r="A12">
        <v>120</v>
      </c>
      <c r="B12">
        <v>201.67</v>
      </c>
      <c r="C12">
        <v>0.27429999999999999</v>
      </c>
      <c r="D12">
        <f t="shared" si="0"/>
        <v>1.13345233963075E-2</v>
      </c>
      <c r="E12">
        <f t="shared" si="1"/>
        <v>14400</v>
      </c>
      <c r="F12">
        <f t="shared" si="2"/>
        <v>7783.8323509057418</v>
      </c>
      <c r="P12">
        <v>700</v>
      </c>
      <c r="Q12">
        <v>303.19</v>
      </c>
      <c r="R12">
        <v>0.68910000000000005</v>
      </c>
      <c r="S12">
        <v>1</v>
      </c>
      <c r="T12">
        <f t="shared" si="3"/>
        <v>4.71</v>
      </c>
    </row>
    <row r="13" spans="1:20" x14ac:dyDescent="0.3">
      <c r="A13">
        <v>140</v>
      </c>
      <c r="B13">
        <v>196.11</v>
      </c>
      <c r="C13">
        <v>0.29354999999999998</v>
      </c>
      <c r="D13">
        <f t="shared" si="0"/>
        <v>1.0691885749251511E-2</v>
      </c>
      <c r="E13">
        <f t="shared" si="1"/>
        <v>19600</v>
      </c>
      <c r="F13">
        <f t="shared" si="2"/>
        <v>8747.6496582502368</v>
      </c>
      <c r="P13">
        <v>800</v>
      </c>
      <c r="Q13">
        <v>295.36</v>
      </c>
      <c r="R13">
        <v>0.67610000000000003</v>
      </c>
      <c r="S13">
        <v>1</v>
      </c>
      <c r="T13">
        <f t="shared" si="3"/>
        <v>4.71</v>
      </c>
    </row>
    <row r="14" spans="1:20" x14ac:dyDescent="0.3">
      <c r="A14">
        <v>160</v>
      </c>
      <c r="B14">
        <v>191.31</v>
      </c>
      <c r="C14">
        <v>0.30830000000000002</v>
      </c>
      <c r="D14">
        <f t="shared" si="0"/>
        <v>1.0072003554440438E-2</v>
      </c>
      <c r="E14">
        <f t="shared" si="1"/>
        <v>25600</v>
      </c>
      <c r="F14">
        <f t="shared" si="2"/>
        <v>9857.5334457877398</v>
      </c>
      <c r="P14">
        <v>900</v>
      </c>
      <c r="Q14">
        <v>287.58</v>
      </c>
      <c r="R14">
        <v>0.66139999999999999</v>
      </c>
      <c r="S14">
        <v>1</v>
      </c>
      <c r="T14">
        <f t="shared" si="3"/>
        <v>4.71</v>
      </c>
    </row>
    <row r="15" spans="1:20" x14ac:dyDescent="0.3">
      <c r="A15" t="s">
        <v>5</v>
      </c>
      <c r="P15">
        <v>1000</v>
      </c>
      <c r="Q15">
        <v>279.82</v>
      </c>
      <c r="R15">
        <v>0.64549999999999996</v>
      </c>
      <c r="S15">
        <v>1</v>
      </c>
      <c r="T15">
        <f t="shared" si="3"/>
        <v>4.71</v>
      </c>
    </row>
    <row r="19" spans="4:16" x14ac:dyDescent="0.3">
      <c r="P19" t="s">
        <v>6</v>
      </c>
    </row>
    <row r="23" spans="4:16" x14ac:dyDescent="0.3">
      <c r="D23" t="s">
        <v>10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81D477-38EA-40CF-81B5-CA5C8D2E7DB1}">
  <dimension ref="A1:E16"/>
  <sheetViews>
    <sheetView workbookViewId="0">
      <selection activeCell="A2" sqref="A2:C16"/>
    </sheetView>
  </sheetViews>
  <sheetFormatPr defaultRowHeight="14.4" x14ac:dyDescent="0.3"/>
  <sheetData>
    <row r="1" spans="1:5" x14ac:dyDescent="0.3">
      <c r="A1" t="s">
        <v>0</v>
      </c>
      <c r="B1" t="s">
        <v>1</v>
      </c>
      <c r="C1" t="s">
        <v>2</v>
      </c>
      <c r="D1" t="s">
        <v>3</v>
      </c>
    </row>
    <row r="2" spans="1:5" x14ac:dyDescent="0.3">
      <c r="A2">
        <v>1000</v>
      </c>
      <c r="B2">
        <v>279.67</v>
      </c>
      <c r="C2">
        <v>0.64570000000000005</v>
      </c>
      <c r="D2">
        <v>1</v>
      </c>
      <c r="E2">
        <f>D2*3.14</f>
        <v>3.14</v>
      </c>
    </row>
    <row r="3" spans="1:5" x14ac:dyDescent="0.3">
      <c r="A3">
        <v>1300</v>
      </c>
      <c r="B3">
        <v>256.63</v>
      </c>
      <c r="C3">
        <v>0.59489999999999998</v>
      </c>
      <c r="D3">
        <v>1.02</v>
      </c>
      <c r="E3">
        <f t="shared" ref="E3:E16" si="0">D3*3.14</f>
        <v>3.2028000000000003</v>
      </c>
    </row>
    <row r="4" spans="1:5" x14ac:dyDescent="0.3">
      <c r="A4">
        <v>1600</v>
      </c>
      <c r="B4">
        <v>234.64</v>
      </c>
      <c r="C4">
        <v>0.5444</v>
      </c>
      <c r="D4">
        <v>1.04</v>
      </c>
      <c r="E4">
        <f t="shared" si="0"/>
        <v>3.2656000000000001</v>
      </c>
    </row>
    <row r="5" spans="1:5" x14ac:dyDescent="0.3">
      <c r="A5">
        <v>2000</v>
      </c>
      <c r="B5">
        <v>208.37</v>
      </c>
      <c r="C5">
        <v>0.48259999999999997</v>
      </c>
      <c r="D5">
        <v>1.08</v>
      </c>
      <c r="E5">
        <f t="shared" si="0"/>
        <v>3.3912000000000004</v>
      </c>
    </row>
    <row r="6" spans="1:5" x14ac:dyDescent="0.3">
      <c r="A6">
        <v>2600</v>
      </c>
      <c r="B6">
        <v>175.71</v>
      </c>
      <c r="C6">
        <v>0.40489999999999998</v>
      </c>
      <c r="D6">
        <v>1.1299999999999999</v>
      </c>
      <c r="E6">
        <f t="shared" si="0"/>
        <v>3.5482</v>
      </c>
    </row>
    <row r="7" spans="1:5" x14ac:dyDescent="0.3">
      <c r="A7">
        <v>3300</v>
      </c>
      <c r="B7">
        <v>146.71</v>
      </c>
      <c r="C7">
        <v>0.33479999999999999</v>
      </c>
      <c r="D7">
        <v>1.17</v>
      </c>
      <c r="E7">
        <f t="shared" si="0"/>
        <v>3.6738</v>
      </c>
    </row>
    <row r="8" spans="1:5" x14ac:dyDescent="0.3">
      <c r="A8">
        <v>4300</v>
      </c>
      <c r="B8">
        <v>117.41</v>
      </c>
      <c r="C8">
        <v>0.2636</v>
      </c>
      <c r="D8">
        <v>1.22</v>
      </c>
      <c r="E8">
        <f t="shared" si="0"/>
        <v>3.8308</v>
      </c>
    </row>
    <row r="9" spans="1:5" x14ac:dyDescent="0.3">
      <c r="A9">
        <v>5500</v>
      </c>
      <c r="B9">
        <v>93.84</v>
      </c>
      <c r="C9">
        <v>0.20580000000000001</v>
      </c>
      <c r="D9">
        <v>1.3</v>
      </c>
      <c r="E9">
        <f t="shared" si="0"/>
        <v>4.0820000000000007</v>
      </c>
    </row>
    <row r="10" spans="1:5" x14ac:dyDescent="0.3">
      <c r="A10">
        <v>7000</v>
      </c>
      <c r="B10">
        <v>74.42</v>
      </c>
      <c r="C10">
        <v>0.15809999999999999</v>
      </c>
      <c r="D10">
        <v>1.37</v>
      </c>
      <c r="E10">
        <f t="shared" si="0"/>
        <v>4.3018000000000001</v>
      </c>
    </row>
    <row r="11" spans="1:5" x14ac:dyDescent="0.3">
      <c r="A11">
        <v>9000</v>
      </c>
      <c r="B11">
        <v>57.55</v>
      </c>
      <c r="C11">
        <v>0.1177</v>
      </c>
      <c r="D11">
        <v>1.52</v>
      </c>
      <c r="E11">
        <f t="shared" si="0"/>
        <v>4.7728000000000002</v>
      </c>
    </row>
    <row r="12" spans="1:5" x14ac:dyDescent="0.3">
      <c r="A12">
        <v>11300</v>
      </c>
      <c r="B12">
        <v>44.191000000000003</v>
      </c>
      <c r="C12">
        <v>8.8300000000000003E-2</v>
      </c>
      <c r="D12">
        <v>1.61</v>
      </c>
      <c r="E12">
        <f t="shared" si="0"/>
        <v>5.0554000000000006</v>
      </c>
    </row>
    <row r="13" spans="1:5" x14ac:dyDescent="0.3">
      <c r="A13">
        <v>14500</v>
      </c>
      <c r="B13">
        <v>32.552999999999997</v>
      </c>
      <c r="C13">
        <v>6.59E-2</v>
      </c>
      <c r="D13">
        <v>1.75</v>
      </c>
      <c r="E13">
        <f t="shared" si="0"/>
        <v>5.4950000000000001</v>
      </c>
    </row>
    <row r="14" spans="1:5" x14ac:dyDescent="0.3">
      <c r="A14">
        <v>18500</v>
      </c>
      <c r="B14">
        <v>22.597999999999999</v>
      </c>
      <c r="C14">
        <v>5.1200000000000002E-2</v>
      </c>
      <c r="D14">
        <v>1.83</v>
      </c>
      <c r="E14">
        <f t="shared" si="0"/>
        <v>5.7462000000000009</v>
      </c>
    </row>
    <row r="15" spans="1:5" x14ac:dyDescent="0.3">
      <c r="A15">
        <v>23500</v>
      </c>
      <c r="B15">
        <v>13.667</v>
      </c>
      <c r="C15">
        <v>4.1500000000000002E-2</v>
      </c>
      <c r="D15">
        <v>1.81</v>
      </c>
      <c r="E15">
        <f t="shared" si="0"/>
        <v>5.6834000000000007</v>
      </c>
    </row>
    <row r="16" spans="1:5" x14ac:dyDescent="0.3">
      <c r="A16">
        <v>30000</v>
      </c>
      <c r="B16">
        <v>4.9630000000000001</v>
      </c>
      <c r="C16">
        <v>3.5099999999999999E-2</v>
      </c>
      <c r="D16">
        <v>1.87</v>
      </c>
      <c r="E16">
        <f t="shared" si="0"/>
        <v>5.8718000000000004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06B0ED9-3CDB-4902-9411-466ED64F8D2A}">
  <dimension ref="A1:D16"/>
  <sheetViews>
    <sheetView workbookViewId="0">
      <selection activeCell="A2" sqref="A2:D15"/>
    </sheetView>
  </sheetViews>
  <sheetFormatPr defaultRowHeight="14.4" x14ac:dyDescent="0.3"/>
  <sheetData>
    <row r="1" spans="1:4" x14ac:dyDescent="0.3">
      <c r="A1" t="s">
        <v>0</v>
      </c>
      <c r="B1" t="s">
        <v>4</v>
      </c>
      <c r="C1" t="s">
        <v>11</v>
      </c>
    </row>
    <row r="2" spans="1:4" x14ac:dyDescent="0.3">
      <c r="A2">
        <v>40</v>
      </c>
      <c r="B2">
        <v>19.2</v>
      </c>
      <c r="C2">
        <f>A2*A2</f>
        <v>1600</v>
      </c>
      <c r="D2">
        <f>(B$2-B2)/(B2-B$13)</f>
        <v>0</v>
      </c>
    </row>
    <row r="3" spans="1:4" x14ac:dyDescent="0.3">
      <c r="A3">
        <v>100</v>
      </c>
      <c r="B3">
        <v>15.3</v>
      </c>
      <c r="C3">
        <f t="shared" ref="C3:C16" si="0">A3*A3</f>
        <v>10000</v>
      </c>
      <c r="D3">
        <f>(B$2-B3)/(B3-B$13)</f>
        <v>0.38048780487804862</v>
      </c>
    </row>
    <row r="4" spans="1:4" x14ac:dyDescent="0.3">
      <c r="A4">
        <v>200</v>
      </c>
      <c r="B4">
        <v>11.27</v>
      </c>
      <c r="C4">
        <f t="shared" si="0"/>
        <v>40000</v>
      </c>
      <c r="D4">
        <f t="shared" ref="D4:D16" si="1">(B$2-B4)/(B4-B$13)</f>
        <v>1.27491961414791</v>
      </c>
    </row>
    <row r="5" spans="1:4" x14ac:dyDescent="0.3">
      <c r="A5">
        <v>300</v>
      </c>
      <c r="B5">
        <v>8.9</v>
      </c>
      <c r="C5">
        <f t="shared" si="0"/>
        <v>90000</v>
      </c>
      <c r="D5">
        <f t="shared" si="1"/>
        <v>2.6753246753246747</v>
      </c>
    </row>
    <row r="6" spans="1:4" x14ac:dyDescent="0.3">
      <c r="A6">
        <v>400</v>
      </c>
      <c r="B6">
        <v>7.8</v>
      </c>
      <c r="C6">
        <f t="shared" si="0"/>
        <v>160000</v>
      </c>
      <c r="D6">
        <f t="shared" si="1"/>
        <v>4.1454545454545446</v>
      </c>
    </row>
    <row r="7" spans="1:4" x14ac:dyDescent="0.3">
      <c r="A7">
        <v>500</v>
      </c>
      <c r="B7">
        <v>7.1</v>
      </c>
      <c r="C7">
        <f t="shared" si="0"/>
        <v>250000</v>
      </c>
      <c r="D7">
        <f t="shared" si="1"/>
        <v>5.9024390243902438</v>
      </c>
    </row>
    <row r="8" spans="1:4" x14ac:dyDescent="0.3">
      <c r="A8">
        <v>600</v>
      </c>
      <c r="B8">
        <v>6.6</v>
      </c>
      <c r="C8">
        <f t="shared" si="0"/>
        <v>360000</v>
      </c>
      <c r="D8">
        <f>(B$2-B8)/(B8-B$13)</f>
        <v>8.129032258064516</v>
      </c>
    </row>
    <row r="9" spans="1:4" x14ac:dyDescent="0.3">
      <c r="A9">
        <v>800</v>
      </c>
      <c r="B9">
        <v>5.6</v>
      </c>
      <c r="C9">
        <f t="shared" si="0"/>
        <v>640000</v>
      </c>
      <c r="D9">
        <f t="shared" si="1"/>
        <v>24.727272727272734</v>
      </c>
    </row>
    <row r="10" spans="1:4" x14ac:dyDescent="0.3">
      <c r="A10">
        <v>1500</v>
      </c>
      <c r="B10">
        <v>5.67</v>
      </c>
      <c r="C10">
        <f t="shared" si="0"/>
        <v>2250000</v>
      </c>
      <c r="D10">
        <f>(B$2-B10)/(B10-B$13)</f>
        <v>21.822580645161285</v>
      </c>
    </row>
    <row r="11" spans="1:4" x14ac:dyDescent="0.3">
      <c r="A11">
        <v>2000</v>
      </c>
      <c r="B11">
        <v>5.69</v>
      </c>
      <c r="C11">
        <f t="shared" si="0"/>
        <v>4000000</v>
      </c>
      <c r="D11">
        <f t="shared" si="1"/>
        <v>21.109374999999979</v>
      </c>
    </row>
    <row r="12" spans="1:4" x14ac:dyDescent="0.3">
      <c r="A12">
        <v>2500</v>
      </c>
      <c r="B12">
        <v>5.46</v>
      </c>
      <c r="C12">
        <f t="shared" si="0"/>
        <v>6250000</v>
      </c>
      <c r="D12">
        <f t="shared" si="1"/>
        <v>33.512195121951201</v>
      </c>
    </row>
    <row r="13" spans="1:4" x14ac:dyDescent="0.3">
      <c r="A13">
        <v>4000</v>
      </c>
      <c r="B13">
        <v>5.05</v>
      </c>
      <c r="C13">
        <f t="shared" si="0"/>
        <v>16000000</v>
      </c>
      <c r="D13" t="e">
        <f t="shared" si="1"/>
        <v>#DIV/0!</v>
      </c>
    </row>
    <row r="14" spans="1:4" x14ac:dyDescent="0.3">
      <c r="A14">
        <v>6000</v>
      </c>
      <c r="B14">
        <v>5.48</v>
      </c>
      <c r="C14">
        <f t="shared" si="0"/>
        <v>36000000</v>
      </c>
      <c r="D14">
        <f t="shared" si="1"/>
        <v>31.906976744186</v>
      </c>
    </row>
    <row r="15" spans="1:4" x14ac:dyDescent="0.3">
      <c r="A15">
        <v>7500</v>
      </c>
      <c r="B15">
        <v>5.19</v>
      </c>
      <c r="C15">
        <f t="shared" si="0"/>
        <v>56250000</v>
      </c>
      <c r="D15">
        <f t="shared" si="1"/>
        <v>100.07142857142816</v>
      </c>
    </row>
    <row r="16" spans="1:4" x14ac:dyDescent="0.3">
      <c r="A16">
        <v>12000</v>
      </c>
      <c r="B16">
        <v>5.62</v>
      </c>
      <c r="C16">
        <f t="shared" si="0"/>
        <v>144000000</v>
      </c>
      <c r="D16">
        <f t="shared" si="1"/>
        <v>23.824561403508756</v>
      </c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3DC097-3D8B-4D21-A95E-94D3A12E8846}">
  <dimension ref="A1:N43"/>
  <sheetViews>
    <sheetView topLeftCell="B12" workbookViewId="0">
      <selection activeCell="I2" sqref="I2:M42"/>
    </sheetView>
  </sheetViews>
  <sheetFormatPr defaultRowHeight="14.4" x14ac:dyDescent="0.3"/>
  <sheetData>
    <row r="1" spans="1:14" x14ac:dyDescent="0.3">
      <c r="A1" t="s">
        <v>0</v>
      </c>
      <c r="B1" t="s">
        <v>1</v>
      </c>
      <c r="C1" t="s">
        <v>2</v>
      </c>
      <c r="D1" t="s">
        <v>13</v>
      </c>
      <c r="E1" t="s">
        <v>12</v>
      </c>
      <c r="I1" t="s">
        <v>0</v>
      </c>
      <c r="J1" t="s">
        <v>1</v>
      </c>
      <c r="K1" t="s">
        <v>2</v>
      </c>
      <c r="L1" t="s">
        <v>13</v>
      </c>
      <c r="M1" t="s">
        <v>12</v>
      </c>
      <c r="N1" t="s">
        <v>14</v>
      </c>
    </row>
    <row r="2" spans="1:14" x14ac:dyDescent="0.3">
      <c r="A2">
        <v>20</v>
      </c>
      <c r="B2">
        <v>238.61</v>
      </c>
      <c r="C2">
        <v>6.7199999999999996E-2</v>
      </c>
      <c r="D2">
        <f>LN(A2)</f>
        <v>2.9957322735539909</v>
      </c>
      <c r="E2">
        <f>C2/A2/B2*1000/0.01414</f>
        <v>0.99586673809244208</v>
      </c>
      <c r="I2">
        <v>20</v>
      </c>
      <c r="J2">
        <v>238.61</v>
      </c>
      <c r="K2">
        <v>6.7199999999999996E-2</v>
      </c>
      <c r="L2">
        <f>LN(I2)</f>
        <v>2.9957322735539909</v>
      </c>
      <c r="M2">
        <f>K2/I2/J2*1000/0.01414</f>
        <v>0.99586673809244208</v>
      </c>
      <c r="N2" t="e">
        <f>COSH((COMPLEX(0,2*3.1415*I2*4.4*4*3.1415))^(0.5)*0.0015)</f>
        <v>#VALUE!</v>
      </c>
    </row>
    <row r="3" spans="1:14" x14ac:dyDescent="0.3">
      <c r="A3">
        <v>30</v>
      </c>
      <c r="B3">
        <v>232.25</v>
      </c>
      <c r="C3">
        <v>9.69E-2</v>
      </c>
      <c r="D3">
        <f t="shared" ref="D3:D14" si="0">LN(A3)</f>
        <v>3.4011973816621555</v>
      </c>
      <c r="E3">
        <f t="shared" ref="E3:E14" si="1">C3/A3/B3*1000/0.01414</f>
        <v>0.98355214577278116</v>
      </c>
      <c r="I3">
        <v>30</v>
      </c>
      <c r="J3">
        <v>232.25</v>
      </c>
      <c r="K3">
        <v>9.69E-2</v>
      </c>
      <c r="L3">
        <f t="shared" ref="L3:L14" si="2">LN(I3)</f>
        <v>3.4011973816621555</v>
      </c>
      <c r="M3">
        <f t="shared" ref="M3:M14" si="3">K3/I3/J3*1000/0.01414</f>
        <v>0.98355214577278116</v>
      </c>
    </row>
    <row r="4" spans="1:14" x14ac:dyDescent="0.3">
      <c r="A4">
        <v>40</v>
      </c>
      <c r="B4">
        <v>228.84</v>
      </c>
      <c r="C4">
        <v>0.12529999999999999</v>
      </c>
      <c r="D4">
        <f t="shared" si="0"/>
        <v>3.6888794541139363</v>
      </c>
      <c r="E4">
        <f t="shared" si="1"/>
        <v>0.96807661888370267</v>
      </c>
      <c r="I4">
        <v>40</v>
      </c>
      <c r="J4">
        <v>228.84</v>
      </c>
      <c r="K4">
        <v>0.12529999999999999</v>
      </c>
      <c r="L4">
        <f t="shared" si="2"/>
        <v>3.6888794541139363</v>
      </c>
      <c r="M4">
        <f t="shared" si="3"/>
        <v>0.96807661888370267</v>
      </c>
    </row>
    <row r="5" spans="1:14" x14ac:dyDescent="0.3">
      <c r="A5">
        <v>50</v>
      </c>
      <c r="B5">
        <v>225.89</v>
      </c>
      <c r="C5">
        <v>0.1517</v>
      </c>
      <c r="D5">
        <f t="shared" si="0"/>
        <v>3.912023005428146</v>
      </c>
      <c r="E5">
        <f t="shared" si="1"/>
        <v>0.9498809142375253</v>
      </c>
      <c r="I5">
        <v>50</v>
      </c>
      <c r="J5">
        <v>225.89</v>
      </c>
      <c r="K5">
        <v>0.1517</v>
      </c>
      <c r="L5">
        <f t="shared" si="2"/>
        <v>3.912023005428146</v>
      </c>
      <c r="M5">
        <f t="shared" si="3"/>
        <v>0.9498809142375253</v>
      </c>
    </row>
    <row r="6" spans="1:14" x14ac:dyDescent="0.3">
      <c r="A6">
        <v>60</v>
      </c>
      <c r="B6">
        <v>222.57</v>
      </c>
      <c r="C6">
        <v>0.1759</v>
      </c>
      <c r="D6">
        <f t="shared" si="0"/>
        <v>4.0943445622221004</v>
      </c>
      <c r="E6">
        <f t="shared" si="1"/>
        <v>0.93153366325406539</v>
      </c>
      <c r="I6">
        <v>60</v>
      </c>
      <c r="J6">
        <v>222.57</v>
      </c>
      <c r="K6">
        <v>0.1759</v>
      </c>
      <c r="L6">
        <f t="shared" si="2"/>
        <v>4.0943445622221004</v>
      </c>
      <c r="M6">
        <f t="shared" si="3"/>
        <v>0.93153366325406539</v>
      </c>
    </row>
    <row r="7" spans="1:14" x14ac:dyDescent="0.3">
      <c r="A7">
        <v>70</v>
      </c>
      <c r="B7">
        <v>219.07</v>
      </c>
      <c r="C7">
        <v>0.19769999999999999</v>
      </c>
      <c r="D7">
        <f t="shared" si="0"/>
        <v>4.2484952420493594</v>
      </c>
      <c r="E7">
        <f t="shared" si="1"/>
        <v>0.91175113283810016</v>
      </c>
      <c r="I7">
        <v>70</v>
      </c>
      <c r="J7">
        <v>219.07</v>
      </c>
      <c r="K7">
        <v>0.19769999999999999</v>
      </c>
      <c r="L7">
        <f t="shared" si="2"/>
        <v>4.2484952420493594</v>
      </c>
      <c r="M7">
        <f t="shared" si="3"/>
        <v>0.91175113283810016</v>
      </c>
    </row>
    <row r="8" spans="1:14" x14ac:dyDescent="0.3">
      <c r="A8">
        <v>80</v>
      </c>
      <c r="B8">
        <v>215.53</v>
      </c>
      <c r="C8">
        <v>0.2172</v>
      </c>
      <c r="D8">
        <f t="shared" si="0"/>
        <v>4.3820266346738812</v>
      </c>
      <c r="E8">
        <f t="shared" si="1"/>
        <v>0.89086663834706081</v>
      </c>
      <c r="I8">
        <v>80</v>
      </c>
      <c r="J8">
        <v>215.53</v>
      </c>
      <c r="K8">
        <v>0.2172</v>
      </c>
      <c r="L8">
        <f t="shared" si="2"/>
        <v>4.3820266346738812</v>
      </c>
      <c r="M8">
        <f t="shared" si="3"/>
        <v>0.89086663834706081</v>
      </c>
    </row>
    <row r="9" spans="1:14" x14ac:dyDescent="0.3">
      <c r="A9">
        <v>90</v>
      </c>
      <c r="B9">
        <v>212.01</v>
      </c>
      <c r="C9">
        <v>0.2344</v>
      </c>
      <c r="D9">
        <f t="shared" si="0"/>
        <v>4.499809670330265</v>
      </c>
      <c r="E9">
        <f t="shared" si="1"/>
        <v>0.86877905549825096</v>
      </c>
      <c r="I9">
        <v>90</v>
      </c>
      <c r="J9">
        <v>212.01</v>
      </c>
      <c r="K9">
        <v>0.2344</v>
      </c>
      <c r="L9">
        <f t="shared" si="2"/>
        <v>4.499809670330265</v>
      </c>
      <c r="M9">
        <f t="shared" si="3"/>
        <v>0.86877905549825096</v>
      </c>
    </row>
    <row r="10" spans="1:14" x14ac:dyDescent="0.3">
      <c r="A10">
        <v>100</v>
      </c>
      <c r="B10">
        <v>208.59</v>
      </c>
      <c r="C10">
        <v>0.24959999999999999</v>
      </c>
      <c r="D10">
        <f t="shared" si="0"/>
        <v>4.6051701859880918</v>
      </c>
      <c r="E10">
        <f t="shared" si="1"/>
        <v>0.84625585691440874</v>
      </c>
      <c r="I10">
        <v>100</v>
      </c>
      <c r="J10">
        <v>208.59</v>
      </c>
      <c r="K10">
        <v>0.24959999999999999</v>
      </c>
      <c r="L10">
        <f t="shared" si="2"/>
        <v>4.6051701859880918</v>
      </c>
      <c r="M10">
        <f t="shared" si="3"/>
        <v>0.84625585691440874</v>
      </c>
    </row>
    <row r="11" spans="1:14" x14ac:dyDescent="0.3">
      <c r="A11">
        <v>110</v>
      </c>
      <c r="B11">
        <v>205.17</v>
      </c>
      <c r="C11">
        <v>0.26279999999999998</v>
      </c>
      <c r="D11">
        <f t="shared" si="0"/>
        <v>4.7004803657924166</v>
      </c>
      <c r="E11">
        <f t="shared" si="1"/>
        <v>0.82351100608358418</v>
      </c>
      <c r="I11">
        <v>110</v>
      </c>
      <c r="J11">
        <v>205.17</v>
      </c>
      <c r="K11">
        <v>0.26279999999999998</v>
      </c>
      <c r="L11">
        <f t="shared" si="2"/>
        <v>4.7004803657924166</v>
      </c>
      <c r="M11">
        <f t="shared" si="3"/>
        <v>0.82351100608358418</v>
      </c>
    </row>
    <row r="12" spans="1:14" x14ac:dyDescent="0.3">
      <c r="A12">
        <v>120</v>
      </c>
      <c r="B12">
        <v>201.67</v>
      </c>
      <c r="C12">
        <v>0.27429999999999999</v>
      </c>
      <c r="D12">
        <f t="shared" si="0"/>
        <v>4.7874917427820458</v>
      </c>
      <c r="E12">
        <f t="shared" si="1"/>
        <v>0.80159288517026162</v>
      </c>
      <c r="I12">
        <v>120</v>
      </c>
      <c r="J12">
        <v>201.67</v>
      </c>
      <c r="K12">
        <v>0.27429999999999999</v>
      </c>
      <c r="L12">
        <f t="shared" si="2"/>
        <v>4.7874917427820458</v>
      </c>
      <c r="M12">
        <f t="shared" si="3"/>
        <v>0.80159288517026162</v>
      </c>
    </row>
    <row r="13" spans="1:14" x14ac:dyDescent="0.3">
      <c r="A13">
        <v>140</v>
      </c>
      <c r="B13">
        <v>196.11</v>
      </c>
      <c r="C13">
        <v>0.29354999999999998</v>
      </c>
      <c r="D13">
        <f t="shared" si="0"/>
        <v>4.9416424226093039</v>
      </c>
      <c r="E13">
        <f t="shared" si="1"/>
        <v>0.75614467816488762</v>
      </c>
      <c r="I13">
        <v>140</v>
      </c>
      <c r="J13">
        <v>196.11</v>
      </c>
      <c r="K13">
        <v>0.29354999999999998</v>
      </c>
      <c r="L13">
        <f t="shared" si="2"/>
        <v>4.9416424226093039</v>
      </c>
      <c r="M13">
        <f t="shared" si="3"/>
        <v>0.75614467816488762</v>
      </c>
    </row>
    <row r="14" spans="1:14" x14ac:dyDescent="0.3">
      <c r="A14">
        <v>160</v>
      </c>
      <c r="B14">
        <v>191.31</v>
      </c>
      <c r="C14">
        <v>0.30830000000000002</v>
      </c>
      <c r="D14">
        <f t="shared" si="0"/>
        <v>5.0751738152338266</v>
      </c>
      <c r="E14">
        <f t="shared" si="1"/>
        <v>0.71230576764076647</v>
      </c>
      <c r="I14">
        <v>160</v>
      </c>
      <c r="J14">
        <v>191.31</v>
      </c>
      <c r="K14">
        <v>0.30830000000000002</v>
      </c>
      <c r="L14">
        <f t="shared" si="2"/>
        <v>5.0751738152338266</v>
      </c>
      <c r="M14">
        <f t="shared" si="3"/>
        <v>0.71230576764076647</v>
      </c>
    </row>
    <row r="15" spans="1:14" x14ac:dyDescent="0.3">
      <c r="A15">
        <v>100</v>
      </c>
      <c r="B15">
        <v>413.89</v>
      </c>
      <c r="C15">
        <v>0.49440000000000001</v>
      </c>
      <c r="D15">
        <f>LN(A15)</f>
        <v>4.6051701859880918</v>
      </c>
      <c r="E15">
        <f>C15/B15/A15*1000/0.01414</f>
        <v>0.84478096405022984</v>
      </c>
      <c r="I15">
        <v>100</v>
      </c>
      <c r="J15">
        <v>413.89</v>
      </c>
      <c r="K15">
        <v>0.49440000000000001</v>
      </c>
      <c r="L15">
        <f>LN(I15)</f>
        <v>4.6051701859880918</v>
      </c>
      <c r="M15">
        <f>K15/J15/I15*1000/0.01414</f>
        <v>0.84478096405022984</v>
      </c>
    </row>
    <row r="16" spans="1:14" x14ac:dyDescent="0.3">
      <c r="A16">
        <v>120</v>
      </c>
      <c r="B16">
        <v>400.52</v>
      </c>
      <c r="C16">
        <v>0.54430000000000001</v>
      </c>
      <c r="D16">
        <f t="shared" ref="D16:D43" si="4">LN(A16)</f>
        <v>4.7874917427820458</v>
      </c>
      <c r="E16">
        <f>C16/B16/A16*1000/0.01414</f>
        <v>0.8009095483744777</v>
      </c>
      <c r="I16">
        <v>120</v>
      </c>
      <c r="J16">
        <v>400.52</v>
      </c>
      <c r="K16">
        <v>0.54430000000000001</v>
      </c>
      <c r="L16">
        <f t="shared" ref="L16:L42" si="5">LN(I16)</f>
        <v>4.7874917427820458</v>
      </c>
      <c r="M16">
        <f>K16/J16/I16*1000/0.01414</f>
        <v>0.8009095483744777</v>
      </c>
    </row>
    <row r="17" spans="1:13" x14ac:dyDescent="0.3">
      <c r="A17">
        <v>140</v>
      </c>
      <c r="B17">
        <v>389.43</v>
      </c>
      <c r="C17">
        <v>0.58289999999999997</v>
      </c>
      <c r="D17">
        <f t="shared" si="4"/>
        <v>4.9416424226093039</v>
      </c>
      <c r="E17">
        <f>C17/B17/A17*1000/0.01414</f>
        <v>0.75611387138723307</v>
      </c>
      <c r="I17">
        <v>140</v>
      </c>
      <c r="J17">
        <v>389.43</v>
      </c>
      <c r="K17">
        <v>0.58289999999999997</v>
      </c>
      <c r="L17">
        <f t="shared" si="5"/>
        <v>4.9416424226093039</v>
      </c>
      <c r="M17">
        <f>K17/J17/I17*1000/0.01414</f>
        <v>0.75611387138723307</v>
      </c>
    </row>
    <row r="18" spans="1:13" x14ac:dyDescent="0.3">
      <c r="A18">
        <v>160</v>
      </c>
      <c r="B18">
        <v>379.81</v>
      </c>
      <c r="C18">
        <v>0.61419999999999997</v>
      </c>
      <c r="D18">
        <f t="shared" si="4"/>
        <v>5.0751738152338266</v>
      </c>
      <c r="E18">
        <f>C18/B18/A18*1000/0.01414</f>
        <v>0.71478268725667837</v>
      </c>
      <c r="I18">
        <v>160</v>
      </c>
      <c r="J18">
        <v>379.81</v>
      </c>
      <c r="K18">
        <v>0.61419999999999997</v>
      </c>
      <c r="L18">
        <f t="shared" si="5"/>
        <v>5.0751738152338266</v>
      </c>
      <c r="M18">
        <f>K18/J18/I18*1000/0.01414</f>
        <v>0.71478268725667837</v>
      </c>
    </row>
    <row r="19" spans="1:13" x14ac:dyDescent="0.3">
      <c r="A19">
        <v>180</v>
      </c>
      <c r="B19">
        <v>371.71</v>
      </c>
      <c r="C19">
        <v>0.63539999999999996</v>
      </c>
      <c r="D19">
        <f t="shared" si="4"/>
        <v>5.1929568508902104</v>
      </c>
      <c r="E19">
        <f>C19/B19/A19*1000/0.01414</f>
        <v>0.67161602650116936</v>
      </c>
      <c r="I19">
        <v>180</v>
      </c>
      <c r="J19">
        <v>371.71</v>
      </c>
      <c r="K19">
        <v>0.63539999999999996</v>
      </c>
      <c r="L19">
        <f t="shared" si="5"/>
        <v>5.1929568508902104</v>
      </c>
      <c r="M19">
        <f>K19/J19/I19*1000/0.01414</f>
        <v>0.67161602650116936</v>
      </c>
    </row>
    <row r="20" spans="1:13" x14ac:dyDescent="0.3">
      <c r="A20">
        <v>200</v>
      </c>
      <c r="B20">
        <v>364.74</v>
      </c>
      <c r="C20">
        <v>0.65310000000000001</v>
      </c>
      <c r="D20">
        <f t="shared" si="4"/>
        <v>5.2983173665480363</v>
      </c>
      <c r="E20">
        <f>C20/B20/A20*1000/0.01414</f>
        <v>0.63316497795527205</v>
      </c>
      <c r="I20">
        <v>200</v>
      </c>
      <c r="J20">
        <v>364.74</v>
      </c>
      <c r="K20">
        <v>0.65310000000000001</v>
      </c>
      <c r="L20">
        <f t="shared" si="5"/>
        <v>5.2983173665480363</v>
      </c>
      <c r="M20">
        <f>K20/J20/I20*1000/0.01414</f>
        <v>0.63316497795527205</v>
      </c>
    </row>
    <row r="21" spans="1:13" x14ac:dyDescent="0.3">
      <c r="A21">
        <v>300</v>
      </c>
      <c r="B21">
        <v>341.88</v>
      </c>
      <c r="C21">
        <v>0.69720000000000004</v>
      </c>
      <c r="D21">
        <f t="shared" si="4"/>
        <v>5.7037824746562009</v>
      </c>
      <c r="E21">
        <f>C21/B21/A21*1000/0.01414</f>
        <v>0.48074305500048076</v>
      </c>
      <c r="I21">
        <v>300</v>
      </c>
      <c r="J21">
        <v>341.88</v>
      </c>
      <c r="K21">
        <v>0.69720000000000004</v>
      </c>
      <c r="L21">
        <f t="shared" si="5"/>
        <v>5.7037824746562009</v>
      </c>
      <c r="M21">
        <f>K21/J21/I21*1000/0.01414</f>
        <v>0.48074305500048076</v>
      </c>
    </row>
    <row r="22" spans="1:13" x14ac:dyDescent="0.3">
      <c r="A22">
        <v>400</v>
      </c>
      <c r="B22">
        <v>328.87</v>
      </c>
      <c r="C22">
        <v>0.70820000000000005</v>
      </c>
      <c r="D22">
        <f t="shared" si="4"/>
        <v>5.9914645471079817</v>
      </c>
      <c r="E22">
        <f>C22/B22/A22*1000/0.01414</f>
        <v>0.38073452754447112</v>
      </c>
      <c r="I22">
        <v>400</v>
      </c>
      <c r="J22">
        <v>328.87</v>
      </c>
      <c r="K22">
        <v>0.70820000000000005</v>
      </c>
      <c r="L22">
        <f t="shared" si="5"/>
        <v>5.9914645471079817</v>
      </c>
      <c r="M22">
        <f>K22/J22/I22*1000/0.01414</f>
        <v>0.38073452754447112</v>
      </c>
    </row>
    <row r="23" spans="1:13" x14ac:dyDescent="0.3">
      <c r="A23">
        <v>500</v>
      </c>
      <c r="B23">
        <v>319.36</v>
      </c>
      <c r="C23">
        <v>0.70679999999999998</v>
      </c>
      <c r="D23">
        <f t="shared" si="4"/>
        <v>6.2146080984221914</v>
      </c>
      <c r="E23">
        <f>C23/B23/A23*1000/0.01414</f>
        <v>0.31303767364998736</v>
      </c>
      <c r="I23">
        <v>500</v>
      </c>
      <c r="J23">
        <v>319.36</v>
      </c>
      <c r="K23">
        <v>0.70679999999999998</v>
      </c>
      <c r="L23">
        <f t="shared" si="5"/>
        <v>6.2146080984221914</v>
      </c>
      <c r="M23">
        <f>K23/J23/I23*1000/0.01414</f>
        <v>0.31303767364998736</v>
      </c>
    </row>
    <row r="24" spans="1:13" x14ac:dyDescent="0.3">
      <c r="A24">
        <v>600</v>
      </c>
      <c r="B24">
        <v>311.02</v>
      </c>
      <c r="C24">
        <v>0.70009999999999994</v>
      </c>
      <c r="D24">
        <f t="shared" si="4"/>
        <v>6.3969296552161463</v>
      </c>
      <c r="E24">
        <f>C24/B24/A24*1000/0.01414</f>
        <v>0.26532067943559101</v>
      </c>
      <c r="I24">
        <v>600</v>
      </c>
      <c r="J24">
        <v>311.02</v>
      </c>
      <c r="K24">
        <v>0.70009999999999994</v>
      </c>
      <c r="L24">
        <f t="shared" si="5"/>
        <v>6.3969296552161463</v>
      </c>
      <c r="M24">
        <f>K24/J24/I24*1000/0.01414</f>
        <v>0.26532067943559101</v>
      </c>
    </row>
    <row r="25" spans="1:13" x14ac:dyDescent="0.3">
      <c r="A25">
        <v>700</v>
      </c>
      <c r="B25">
        <v>303.19</v>
      </c>
      <c r="C25">
        <v>0.68910000000000005</v>
      </c>
      <c r="D25">
        <f t="shared" si="4"/>
        <v>6.5510803350434044</v>
      </c>
      <c r="E25">
        <f>C25/B25/A25*1000/0.01414</f>
        <v>0.2296254008306142</v>
      </c>
      <c r="I25">
        <v>700</v>
      </c>
      <c r="J25">
        <v>303.19</v>
      </c>
      <c r="K25">
        <v>0.68910000000000005</v>
      </c>
      <c r="L25">
        <f t="shared" si="5"/>
        <v>6.5510803350434044</v>
      </c>
      <c r="M25">
        <f>K25/J25/I25*1000/0.01414</f>
        <v>0.2296254008306142</v>
      </c>
    </row>
    <row r="26" spans="1:13" x14ac:dyDescent="0.3">
      <c r="A26">
        <v>800</v>
      </c>
      <c r="B26">
        <v>295.36</v>
      </c>
      <c r="C26">
        <v>0.67610000000000003</v>
      </c>
      <c r="D26">
        <f t="shared" si="4"/>
        <v>6.6846117276679271</v>
      </c>
      <c r="E26">
        <f>C26/B26/A26*1000/0.01414</f>
        <v>0.20235775850839999</v>
      </c>
      <c r="I26">
        <v>800</v>
      </c>
      <c r="J26">
        <v>295.36</v>
      </c>
      <c r="K26">
        <v>0.67610000000000003</v>
      </c>
      <c r="L26">
        <f t="shared" si="5"/>
        <v>6.6846117276679271</v>
      </c>
      <c r="M26">
        <f>K26/J26/I26*1000/0.01414</f>
        <v>0.20235775850839999</v>
      </c>
    </row>
    <row r="27" spans="1:13" x14ac:dyDescent="0.3">
      <c r="A27">
        <v>900</v>
      </c>
      <c r="B27">
        <v>287.58</v>
      </c>
      <c r="C27">
        <v>0.66139999999999999</v>
      </c>
      <c r="D27">
        <f t="shared" si="4"/>
        <v>6.8023947633243109</v>
      </c>
      <c r="E27">
        <f>C27/B27/A27*1000/0.01414</f>
        <v>0.18072306868054791</v>
      </c>
      <c r="I27">
        <v>900</v>
      </c>
      <c r="J27">
        <v>287.58</v>
      </c>
      <c r="K27">
        <v>0.66139999999999999</v>
      </c>
      <c r="L27">
        <f t="shared" si="5"/>
        <v>6.8023947633243109</v>
      </c>
      <c r="M27">
        <f>K27/J27/I27*1000/0.01414</f>
        <v>0.18072306868054791</v>
      </c>
    </row>
    <row r="28" spans="1:13" x14ac:dyDescent="0.3">
      <c r="A28">
        <v>1000</v>
      </c>
      <c r="B28">
        <v>279.82</v>
      </c>
      <c r="C28">
        <v>0.64549999999999996</v>
      </c>
      <c r="D28">
        <f t="shared" si="4"/>
        <v>6.9077552789821368</v>
      </c>
      <c r="E28">
        <f>C28/B28/A28*1000/0.01414</f>
        <v>0.16314286502830624</v>
      </c>
      <c r="I28">
        <v>1000</v>
      </c>
      <c r="J28">
        <v>279.67</v>
      </c>
      <c r="K28">
        <v>0.64570000000000005</v>
      </c>
      <c r="L28">
        <f t="shared" si="5"/>
        <v>6.9077552789821368</v>
      </c>
      <c r="M28">
        <f>K28/J28/I28*1000/0.01414</f>
        <v>0.16328094097969276</v>
      </c>
    </row>
    <row r="29" spans="1:13" x14ac:dyDescent="0.3">
      <c r="A29">
        <v>1000</v>
      </c>
      <c r="B29">
        <v>279.67</v>
      </c>
      <c r="C29">
        <v>0.64570000000000005</v>
      </c>
      <c r="D29">
        <f t="shared" si="4"/>
        <v>6.9077552789821368</v>
      </c>
      <c r="E29">
        <f>C29/B29/A29*1000/0.01414</f>
        <v>0.16328094097969276</v>
      </c>
      <c r="I29">
        <v>1300</v>
      </c>
      <c r="J29">
        <v>256.63</v>
      </c>
      <c r="K29">
        <v>0.59489999999999998</v>
      </c>
      <c r="L29">
        <f t="shared" si="5"/>
        <v>7.1701195434496281</v>
      </c>
      <c r="M29">
        <f>K29/J29/I29*1000/0.01414</f>
        <v>0.12610833251405668</v>
      </c>
    </row>
    <row r="30" spans="1:13" x14ac:dyDescent="0.3">
      <c r="A30">
        <v>1300</v>
      </c>
      <c r="B30">
        <v>256.63</v>
      </c>
      <c r="C30">
        <v>0.59489999999999998</v>
      </c>
      <c r="D30">
        <f t="shared" si="4"/>
        <v>7.1701195434496281</v>
      </c>
      <c r="E30">
        <f>C30/B30/A30*1000/0.01414</f>
        <v>0.12610833251405668</v>
      </c>
      <c r="I30">
        <v>1600</v>
      </c>
      <c r="J30">
        <v>234.64</v>
      </c>
      <c r="K30">
        <v>0.5444</v>
      </c>
      <c r="L30">
        <f t="shared" si="5"/>
        <v>7.3777589082278725</v>
      </c>
      <c r="M30">
        <f>K30/J30/I30*1000/0.01414</f>
        <v>0.10255259976341016</v>
      </c>
    </row>
    <row r="31" spans="1:13" x14ac:dyDescent="0.3">
      <c r="A31">
        <v>1600</v>
      </c>
      <c r="B31">
        <v>234.64</v>
      </c>
      <c r="C31">
        <v>0.5444</v>
      </c>
      <c r="D31">
        <f t="shared" si="4"/>
        <v>7.3777589082278725</v>
      </c>
      <c r="E31">
        <f>C31/B31/A31*1000/0.01414</f>
        <v>0.10255259976341016</v>
      </c>
      <c r="I31">
        <v>2000</v>
      </c>
      <c r="J31">
        <v>208.37</v>
      </c>
      <c r="K31">
        <v>0.48259999999999997</v>
      </c>
      <c r="L31">
        <f t="shared" si="5"/>
        <v>7.6009024595420822</v>
      </c>
      <c r="M31">
        <f>K31/J31/I31*1000/0.01414</f>
        <v>8.1897891487364122E-2</v>
      </c>
    </row>
    <row r="32" spans="1:13" x14ac:dyDescent="0.3">
      <c r="A32">
        <v>2000</v>
      </c>
      <c r="B32">
        <v>208.37</v>
      </c>
      <c r="C32">
        <v>0.48259999999999997</v>
      </c>
      <c r="D32">
        <f t="shared" si="4"/>
        <v>7.6009024595420822</v>
      </c>
      <c r="E32">
        <f>C32/B32/A32*1000/0.01414</f>
        <v>8.1897891487364122E-2</v>
      </c>
      <c r="I32">
        <v>2600</v>
      </c>
      <c r="J32">
        <v>175.71</v>
      </c>
      <c r="K32">
        <v>0.40489999999999998</v>
      </c>
      <c r="L32">
        <f t="shared" si="5"/>
        <v>7.8632667240095735</v>
      </c>
      <c r="M32">
        <f>K32/J32/I32*1000/0.01414</f>
        <v>6.267993545635428E-2</v>
      </c>
    </row>
    <row r="33" spans="1:13" x14ac:dyDescent="0.3">
      <c r="A33">
        <v>2600</v>
      </c>
      <c r="B33">
        <v>175.71</v>
      </c>
      <c r="C33">
        <v>0.40489999999999998</v>
      </c>
      <c r="D33">
        <f t="shared" si="4"/>
        <v>7.8632667240095735</v>
      </c>
      <c r="E33">
        <f>C33/B33/A33*1000/0.01414</f>
        <v>6.267993545635428E-2</v>
      </c>
      <c r="I33">
        <v>3300</v>
      </c>
      <c r="J33">
        <v>146.71</v>
      </c>
      <c r="K33">
        <v>0.33479999999999999</v>
      </c>
      <c r="L33">
        <f t="shared" si="5"/>
        <v>8.1016777474545716</v>
      </c>
      <c r="M33">
        <f>K33/J33/I33*1000/0.01414</f>
        <v>4.8906026955266677E-2</v>
      </c>
    </row>
    <row r="34" spans="1:13" x14ac:dyDescent="0.3">
      <c r="A34">
        <v>3300</v>
      </c>
      <c r="B34">
        <v>146.71</v>
      </c>
      <c r="C34">
        <v>0.33479999999999999</v>
      </c>
      <c r="D34">
        <f t="shared" si="4"/>
        <v>8.1016777474545716</v>
      </c>
      <c r="E34">
        <f>C34/B34/A34*1000/0.01414</f>
        <v>4.8906026955266677E-2</v>
      </c>
      <c r="I34">
        <v>4300</v>
      </c>
      <c r="J34">
        <v>117.41</v>
      </c>
      <c r="K34">
        <v>0.2636</v>
      </c>
      <c r="L34">
        <f t="shared" si="5"/>
        <v>8.3663703016816537</v>
      </c>
      <c r="M34">
        <f>K34/J34/I34*1000/0.01414</f>
        <v>3.692516569698838E-2</v>
      </c>
    </row>
    <row r="35" spans="1:13" x14ac:dyDescent="0.3">
      <c r="A35">
        <v>4300</v>
      </c>
      <c r="B35">
        <v>117.41</v>
      </c>
      <c r="C35">
        <v>0.2636</v>
      </c>
      <c r="D35">
        <f t="shared" si="4"/>
        <v>8.3663703016816537</v>
      </c>
      <c r="E35">
        <f>C35/B35/A35*1000/0.01414</f>
        <v>3.692516569698838E-2</v>
      </c>
      <c r="I35">
        <v>5500</v>
      </c>
      <c r="J35">
        <v>93.84</v>
      </c>
      <c r="K35">
        <v>0.20580000000000001</v>
      </c>
      <c r="L35">
        <f t="shared" si="5"/>
        <v>8.6125033712205621</v>
      </c>
      <c r="M35">
        <f>K35/J35/I35*1000/0.01414</f>
        <v>2.8199750921383701E-2</v>
      </c>
    </row>
    <row r="36" spans="1:13" x14ac:dyDescent="0.3">
      <c r="A36">
        <v>5500</v>
      </c>
      <c r="B36">
        <v>93.84</v>
      </c>
      <c r="C36">
        <v>0.20580000000000001</v>
      </c>
      <c r="D36">
        <f t="shared" si="4"/>
        <v>8.6125033712205621</v>
      </c>
      <c r="E36">
        <f>C36/B36/A36*1000/0.01414</f>
        <v>2.8199750921383701E-2</v>
      </c>
      <c r="I36">
        <v>7000</v>
      </c>
      <c r="J36">
        <v>74.42</v>
      </c>
      <c r="K36">
        <v>0.15809999999999999</v>
      </c>
      <c r="L36">
        <f t="shared" si="5"/>
        <v>8.8536654280374503</v>
      </c>
      <c r="M36">
        <f>K36/J36/I36*1000/0.01414</f>
        <v>2.1463213951887317E-2</v>
      </c>
    </row>
    <row r="37" spans="1:13" x14ac:dyDescent="0.3">
      <c r="A37">
        <v>7000</v>
      </c>
      <c r="B37">
        <v>74.42</v>
      </c>
      <c r="C37">
        <v>0.15809999999999999</v>
      </c>
      <c r="D37">
        <f t="shared" si="4"/>
        <v>8.8536654280374503</v>
      </c>
      <c r="E37">
        <f>C37/B37/A37*1000/0.01414</f>
        <v>2.1463213951887317E-2</v>
      </c>
      <c r="I37">
        <v>9000</v>
      </c>
      <c r="J37">
        <v>57.55</v>
      </c>
      <c r="K37">
        <v>0.1177</v>
      </c>
      <c r="L37">
        <f t="shared" si="5"/>
        <v>9.1049798563183568</v>
      </c>
      <c r="M37">
        <f>K37/J37/I37*1000/0.01414</f>
        <v>1.6070863633465243E-2</v>
      </c>
    </row>
    <row r="38" spans="1:13" x14ac:dyDescent="0.3">
      <c r="A38">
        <v>9000</v>
      </c>
      <c r="B38">
        <v>57.55</v>
      </c>
      <c r="C38">
        <v>0.1177</v>
      </c>
      <c r="D38">
        <f t="shared" si="4"/>
        <v>9.1049798563183568</v>
      </c>
      <c r="E38">
        <f>C38/B38/A38*1000/0.01414</f>
        <v>1.6070863633465243E-2</v>
      </c>
      <c r="I38">
        <v>11300</v>
      </c>
      <c r="J38">
        <v>44.191000000000003</v>
      </c>
      <c r="K38">
        <v>8.8300000000000003E-2</v>
      </c>
      <c r="L38">
        <f t="shared" si="5"/>
        <v>9.3325580047004326</v>
      </c>
      <c r="M38">
        <f>K38/J38/I38*1000/0.01414</f>
        <v>1.2505441279660807E-2</v>
      </c>
    </row>
    <row r="39" spans="1:13" x14ac:dyDescent="0.3">
      <c r="A39">
        <v>11300</v>
      </c>
      <c r="B39">
        <v>44.191000000000003</v>
      </c>
      <c r="C39">
        <v>8.8300000000000003E-2</v>
      </c>
      <c r="D39">
        <f t="shared" si="4"/>
        <v>9.3325580047004326</v>
      </c>
      <c r="E39">
        <f>C39/B39/A39*1000/0.01414</f>
        <v>1.2505441279660807E-2</v>
      </c>
      <c r="I39">
        <v>14500</v>
      </c>
      <c r="J39">
        <v>32.552999999999997</v>
      </c>
      <c r="K39">
        <v>6.59E-2</v>
      </c>
      <c r="L39">
        <f t="shared" si="5"/>
        <v>9.581903928408666</v>
      </c>
      <c r="M39">
        <f>K39/J39/I39*1000/0.01414</f>
        <v>9.8736330934479487E-3</v>
      </c>
    </row>
    <row r="40" spans="1:13" x14ac:dyDescent="0.3">
      <c r="A40">
        <v>14500</v>
      </c>
      <c r="B40">
        <v>32.552999999999997</v>
      </c>
      <c r="C40">
        <v>6.59E-2</v>
      </c>
      <c r="D40">
        <f t="shared" si="4"/>
        <v>9.581903928408666</v>
      </c>
      <c r="E40">
        <f>C40/B40/A40*1000/0.01414</f>
        <v>9.8736330934479487E-3</v>
      </c>
      <c r="I40">
        <v>18500</v>
      </c>
      <c r="J40">
        <v>22.597999999999999</v>
      </c>
      <c r="K40">
        <v>5.1200000000000002E-2</v>
      </c>
      <c r="L40">
        <f t="shared" si="5"/>
        <v>9.8255260110664153</v>
      </c>
      <c r="M40">
        <f>K40/J40/I40*1000/0.01414</f>
        <v>8.6612149889457365E-3</v>
      </c>
    </row>
    <row r="41" spans="1:13" x14ac:dyDescent="0.3">
      <c r="A41">
        <v>18500</v>
      </c>
      <c r="B41">
        <v>22.597999999999999</v>
      </c>
      <c r="C41">
        <v>5.1200000000000002E-2</v>
      </c>
      <c r="D41">
        <f t="shared" si="4"/>
        <v>9.8255260110664153</v>
      </c>
      <c r="E41">
        <f>C41/B41/A41*1000/0.01414</f>
        <v>8.6612149889457365E-3</v>
      </c>
      <c r="I41">
        <v>23500</v>
      </c>
      <c r="J41">
        <v>13.667</v>
      </c>
      <c r="K41">
        <v>4.1500000000000002E-2</v>
      </c>
      <c r="L41">
        <f t="shared" si="5"/>
        <v>10.064755700132251</v>
      </c>
      <c r="M41">
        <f>K41/J41/I41*1000/0.01414</f>
        <v>9.1381362803645231E-3</v>
      </c>
    </row>
    <row r="42" spans="1:13" x14ac:dyDescent="0.3">
      <c r="A42">
        <v>23500</v>
      </c>
      <c r="B42">
        <v>13.667</v>
      </c>
      <c r="C42">
        <v>4.1500000000000002E-2</v>
      </c>
      <c r="D42">
        <f t="shared" si="4"/>
        <v>10.064755700132251</v>
      </c>
      <c r="E42">
        <f>C42/B42/A42*1000/0.01414</f>
        <v>9.1381362803645231E-3</v>
      </c>
      <c r="I42">
        <v>30000</v>
      </c>
      <c r="J42">
        <v>4.9630000000000001</v>
      </c>
      <c r="K42">
        <v>3.5099999999999999E-2</v>
      </c>
      <c r="L42">
        <f t="shared" si="5"/>
        <v>10.308952660644293</v>
      </c>
      <c r="M42">
        <f>K42/J42/I42*1000/0.01414</f>
        <v>1.6672171808297952E-2</v>
      </c>
    </row>
    <row r="43" spans="1:13" x14ac:dyDescent="0.3">
      <c r="A43">
        <v>30000</v>
      </c>
      <c r="B43">
        <v>4.9630000000000001</v>
      </c>
      <c r="C43">
        <v>3.5099999999999999E-2</v>
      </c>
      <c r="D43">
        <f t="shared" si="4"/>
        <v>10.308952660644293</v>
      </c>
      <c r="E43">
        <f>C43/B43/A43*1000/0.01414</f>
        <v>1.6672171808297952E-2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0225D5-A6DE-423E-8D79-084C57881E62}">
  <dimension ref="A1:U78"/>
  <sheetViews>
    <sheetView topLeftCell="A7" workbookViewId="0">
      <selection activeCell="S1" sqref="S1:S37"/>
    </sheetView>
  </sheetViews>
  <sheetFormatPr defaultRowHeight="14.4" x14ac:dyDescent="0.3"/>
  <cols>
    <col min="1" max="2" width="8.88671875" customWidth="1"/>
  </cols>
  <sheetData>
    <row r="1" spans="1:20" x14ac:dyDescent="0.3">
      <c r="A1">
        <v>20</v>
      </c>
      <c r="B1">
        <v>20</v>
      </c>
      <c r="C1">
        <v>2.9957322735539909</v>
      </c>
      <c r="D1">
        <v>0.98720799999999997</v>
      </c>
      <c r="E1">
        <v>0.99586673809244208</v>
      </c>
      <c r="Q1">
        <v>20</v>
      </c>
      <c r="R1" t="s">
        <v>15</v>
      </c>
      <c r="S1" t="s">
        <v>92</v>
      </c>
      <c r="T1" t="s">
        <v>16</v>
      </c>
    </row>
    <row r="2" spans="1:20" x14ac:dyDescent="0.3">
      <c r="A2">
        <v>30</v>
      </c>
      <c r="B2">
        <v>30</v>
      </c>
      <c r="C2">
        <v>3.4011973816621555</v>
      </c>
      <c r="D2">
        <v>0.97188799999999997</v>
      </c>
      <c r="E2">
        <v>0.98355214577278116</v>
      </c>
      <c r="Q2">
        <v>30</v>
      </c>
      <c r="R2" t="s">
        <v>17</v>
      </c>
      <c r="S2" t="s">
        <v>93</v>
      </c>
      <c r="T2" t="s">
        <v>18</v>
      </c>
    </row>
    <row r="3" spans="1:20" x14ac:dyDescent="0.3">
      <c r="A3">
        <v>40</v>
      </c>
      <c r="B3">
        <v>40</v>
      </c>
      <c r="C3">
        <v>3.6888794541139363</v>
      </c>
      <c r="D3">
        <v>0.95159099999999996</v>
      </c>
      <c r="E3">
        <v>0.96807661888370267</v>
      </c>
      <c r="Q3">
        <v>40</v>
      </c>
      <c r="R3" t="s">
        <v>19</v>
      </c>
      <c r="S3" t="s">
        <v>94</v>
      </c>
      <c r="T3" t="s">
        <v>20</v>
      </c>
    </row>
    <row r="4" spans="1:20" x14ac:dyDescent="0.3">
      <c r="A4">
        <v>50</v>
      </c>
      <c r="B4">
        <v>50</v>
      </c>
      <c r="C4">
        <v>3.912023005428146</v>
      </c>
      <c r="D4">
        <v>0.92727099999999996</v>
      </c>
      <c r="E4">
        <v>0.9498809142375253</v>
      </c>
      <c r="Q4">
        <v>50</v>
      </c>
      <c r="R4" t="s">
        <v>21</v>
      </c>
      <c r="S4" t="s">
        <v>95</v>
      </c>
      <c r="T4" t="s">
        <v>22</v>
      </c>
    </row>
    <row r="5" spans="1:20" x14ac:dyDescent="0.3">
      <c r="A5">
        <v>60</v>
      </c>
      <c r="B5">
        <v>60</v>
      </c>
      <c r="C5">
        <v>4.0943445622221004</v>
      </c>
      <c r="D5">
        <v>0.89993299999999998</v>
      </c>
      <c r="E5">
        <v>0.93153366325406539</v>
      </c>
      <c r="Q5">
        <v>60</v>
      </c>
      <c r="R5" t="s">
        <v>23</v>
      </c>
      <c r="S5" t="s">
        <v>96</v>
      </c>
      <c r="T5" t="s">
        <v>24</v>
      </c>
    </row>
    <row r="6" spans="1:20" x14ac:dyDescent="0.3">
      <c r="A6">
        <v>70</v>
      </c>
      <c r="B6">
        <v>70</v>
      </c>
      <c r="C6">
        <v>4.2484952420493594</v>
      </c>
      <c r="D6">
        <v>0.87054399999999998</v>
      </c>
      <c r="E6">
        <v>0.91175113283810016</v>
      </c>
      <c r="Q6">
        <v>70</v>
      </c>
      <c r="R6" t="s">
        <v>25</v>
      </c>
      <c r="S6" t="s">
        <v>97</v>
      </c>
      <c r="T6" t="s">
        <v>26</v>
      </c>
    </row>
    <row r="7" spans="1:20" x14ac:dyDescent="0.3">
      <c r="A7">
        <v>80</v>
      </c>
      <c r="B7">
        <v>80</v>
      </c>
      <c r="C7">
        <v>4.3820266346738812</v>
      </c>
      <c r="D7">
        <v>0.83996599999999999</v>
      </c>
      <c r="E7">
        <v>0.89086663834706081</v>
      </c>
      <c r="Q7">
        <v>80</v>
      </c>
      <c r="R7" t="s">
        <v>27</v>
      </c>
      <c r="S7" t="s">
        <v>98</v>
      </c>
      <c r="T7" t="s">
        <v>28</v>
      </c>
    </row>
    <row r="8" spans="1:20" x14ac:dyDescent="0.3">
      <c r="A8">
        <v>90</v>
      </c>
      <c r="B8">
        <v>90</v>
      </c>
      <c r="C8">
        <v>4.499809670330265</v>
      </c>
      <c r="D8">
        <v>0.80892399999999998</v>
      </c>
      <c r="E8">
        <v>0.86877905549825096</v>
      </c>
      <c r="Q8">
        <v>90</v>
      </c>
      <c r="R8" t="s">
        <v>29</v>
      </c>
      <c r="S8" t="s">
        <v>99</v>
      </c>
      <c r="T8" t="s">
        <v>30</v>
      </c>
    </row>
    <row r="9" spans="1:20" x14ac:dyDescent="0.3">
      <c r="A9">
        <v>100</v>
      </c>
      <c r="B9">
        <v>100</v>
      </c>
      <c r="C9">
        <v>4.6051701859880918</v>
      </c>
      <c r="D9">
        <v>0.77799600000000002</v>
      </c>
      <c r="E9">
        <v>0.84625585691440874</v>
      </c>
      <c r="Q9">
        <v>100</v>
      </c>
      <c r="R9" t="s">
        <v>31</v>
      </c>
      <c r="S9" t="s">
        <v>100</v>
      </c>
      <c r="T9" t="s">
        <v>32</v>
      </c>
    </row>
    <row r="10" spans="1:20" x14ac:dyDescent="0.3">
      <c r="A10">
        <v>110</v>
      </c>
      <c r="B10">
        <v>110</v>
      </c>
      <c r="C10">
        <v>4.7004803657924166</v>
      </c>
      <c r="D10">
        <v>0.74762300000000004</v>
      </c>
      <c r="E10">
        <v>0.82351100608358418</v>
      </c>
      <c r="Q10">
        <v>110</v>
      </c>
      <c r="R10" t="s">
        <v>33</v>
      </c>
      <c r="S10" t="s">
        <v>101</v>
      </c>
      <c r="T10" t="s">
        <v>34</v>
      </c>
    </row>
    <row r="11" spans="1:20" x14ac:dyDescent="0.3">
      <c r="A11">
        <v>120</v>
      </c>
      <c r="B11">
        <v>120</v>
      </c>
      <c r="C11">
        <v>4.7874917427820458</v>
      </c>
      <c r="D11">
        <v>0.71812200000000004</v>
      </c>
      <c r="E11">
        <v>0.80159288517026162</v>
      </c>
      <c r="Q11">
        <v>120</v>
      </c>
      <c r="R11" t="s">
        <v>35</v>
      </c>
      <c r="S11" t="s">
        <v>102</v>
      </c>
      <c r="T11" t="s">
        <v>36</v>
      </c>
    </row>
    <row r="12" spans="1:20" x14ac:dyDescent="0.3">
      <c r="A12">
        <v>140</v>
      </c>
      <c r="B12">
        <v>140</v>
      </c>
      <c r="C12">
        <v>4.9416424226093039</v>
      </c>
      <c r="D12">
        <v>0.66251099999999996</v>
      </c>
      <c r="E12">
        <v>0.75614467816488762</v>
      </c>
      <c r="Q12">
        <v>140</v>
      </c>
      <c r="R12" t="s">
        <v>37</v>
      </c>
      <c r="S12" t="s">
        <v>103</v>
      </c>
      <c r="T12" t="s">
        <v>38</v>
      </c>
    </row>
    <row r="13" spans="1:20" x14ac:dyDescent="0.3">
      <c r="A13">
        <v>160</v>
      </c>
      <c r="B13">
        <v>160</v>
      </c>
      <c r="C13">
        <v>5.0751738152338266</v>
      </c>
      <c r="D13">
        <v>0.61201899999999998</v>
      </c>
      <c r="E13">
        <v>0.71230576764076647</v>
      </c>
      <c r="Q13">
        <v>160</v>
      </c>
      <c r="R13" t="s">
        <v>39</v>
      </c>
      <c r="S13" t="s">
        <v>104</v>
      </c>
      <c r="T13" t="s">
        <v>40</v>
      </c>
    </row>
    <row r="14" spans="1:20" x14ac:dyDescent="0.3">
      <c r="A14">
        <v>180</v>
      </c>
      <c r="B14">
        <v>180</v>
      </c>
      <c r="C14">
        <v>5.1929568508902104</v>
      </c>
      <c r="D14">
        <v>0.56673499999999999</v>
      </c>
      <c r="E14">
        <v>0.67161602650116936</v>
      </c>
      <c r="Q14">
        <v>180</v>
      </c>
      <c r="R14" t="s">
        <v>41</v>
      </c>
      <c r="S14" t="s">
        <v>105</v>
      </c>
      <c r="T14" t="s">
        <v>42</v>
      </c>
    </row>
    <row r="15" spans="1:20" x14ac:dyDescent="0.3">
      <c r="A15">
        <v>200</v>
      </c>
      <c r="B15">
        <v>200</v>
      </c>
      <c r="C15">
        <v>5.2983173665480363</v>
      </c>
      <c r="D15">
        <v>0.52635900000000002</v>
      </c>
      <c r="E15">
        <v>0.63316497795527205</v>
      </c>
      <c r="Q15">
        <v>200</v>
      </c>
      <c r="R15" t="s">
        <v>43</v>
      </c>
      <c r="S15" t="s">
        <v>106</v>
      </c>
      <c r="T15" t="s">
        <v>44</v>
      </c>
    </row>
    <row r="16" spans="1:20" x14ac:dyDescent="0.3">
      <c r="A16">
        <v>300</v>
      </c>
      <c r="B16">
        <v>300</v>
      </c>
      <c r="C16">
        <v>5.7037824746562009</v>
      </c>
      <c r="D16">
        <v>0.38140000000000002</v>
      </c>
      <c r="E16">
        <v>0.48074305500048076</v>
      </c>
      <c r="Q16">
        <v>300</v>
      </c>
      <c r="R16" t="s">
        <v>45</v>
      </c>
      <c r="S16" t="s">
        <v>107</v>
      </c>
      <c r="T16" t="s">
        <v>46</v>
      </c>
    </row>
    <row r="17" spans="1:20" x14ac:dyDescent="0.3">
      <c r="A17">
        <v>400</v>
      </c>
      <c r="B17">
        <v>400</v>
      </c>
      <c r="C17">
        <v>5.9914645471079817</v>
      </c>
      <c r="D17">
        <v>0.29550500000000002</v>
      </c>
      <c r="E17">
        <v>0.38073452754447112</v>
      </c>
      <c r="Q17">
        <v>400</v>
      </c>
      <c r="R17" t="s">
        <v>47</v>
      </c>
      <c r="S17" t="s">
        <v>108</v>
      </c>
      <c r="T17" t="s">
        <v>48</v>
      </c>
    </row>
    <row r="18" spans="1:20" x14ac:dyDescent="0.3">
      <c r="A18">
        <v>500</v>
      </c>
      <c r="B18">
        <v>500</v>
      </c>
      <c r="C18">
        <v>6.2146080984221914</v>
      </c>
      <c r="D18">
        <v>0.240096</v>
      </c>
      <c r="E18">
        <v>0.31303767364998736</v>
      </c>
      <c r="Q18">
        <v>500</v>
      </c>
      <c r="R18" t="s">
        <v>49</v>
      </c>
      <c r="S18" t="s">
        <v>109</v>
      </c>
      <c r="T18" t="s">
        <v>50</v>
      </c>
    </row>
    <row r="19" spans="1:20" x14ac:dyDescent="0.3">
      <c r="A19">
        <v>600</v>
      </c>
      <c r="B19">
        <v>600</v>
      </c>
      <c r="C19">
        <v>6.3969296552161463</v>
      </c>
      <c r="D19">
        <v>0.20174700000000001</v>
      </c>
      <c r="E19">
        <v>0.26532067943559101</v>
      </c>
      <c r="Q19">
        <v>600</v>
      </c>
      <c r="R19" t="s">
        <v>51</v>
      </c>
      <c r="S19" t="s">
        <v>110</v>
      </c>
      <c r="T19" t="s">
        <v>52</v>
      </c>
    </row>
    <row r="20" spans="1:20" x14ac:dyDescent="0.3">
      <c r="A20">
        <v>700</v>
      </c>
      <c r="B20">
        <v>700</v>
      </c>
      <c r="C20">
        <v>6.5510803350434044</v>
      </c>
      <c r="D20">
        <v>0.17374500000000001</v>
      </c>
      <c r="E20">
        <v>0.2296254008306142</v>
      </c>
      <c r="Q20">
        <v>700</v>
      </c>
      <c r="R20" t="s">
        <v>53</v>
      </c>
      <c r="S20" t="s">
        <v>111</v>
      </c>
      <c r="T20" t="s">
        <v>54</v>
      </c>
    </row>
    <row r="21" spans="1:20" x14ac:dyDescent="0.3">
      <c r="A21">
        <v>800</v>
      </c>
      <c r="B21">
        <v>800</v>
      </c>
      <c r="C21">
        <v>6.6846117276679271</v>
      </c>
      <c r="D21">
        <v>0.15244199999999999</v>
      </c>
      <c r="E21">
        <v>0.20235775850839999</v>
      </c>
      <c r="Q21">
        <v>800</v>
      </c>
      <c r="R21" t="s">
        <v>55</v>
      </c>
      <c r="S21" t="s">
        <v>112</v>
      </c>
      <c r="T21" t="s">
        <v>56</v>
      </c>
    </row>
    <row r="22" spans="1:20" x14ac:dyDescent="0.3">
      <c r="A22">
        <v>900</v>
      </c>
      <c r="B22">
        <v>900</v>
      </c>
      <c r="C22">
        <v>6.8023947633243109</v>
      </c>
      <c r="D22">
        <v>0.13571</v>
      </c>
      <c r="E22">
        <v>0.18072306868054791</v>
      </c>
      <c r="Q22">
        <v>900</v>
      </c>
      <c r="R22" t="s">
        <v>57</v>
      </c>
      <c r="S22" t="s">
        <v>113</v>
      </c>
      <c r="T22" t="s">
        <v>58</v>
      </c>
    </row>
    <row r="23" spans="1:20" x14ac:dyDescent="0.3">
      <c r="A23">
        <v>1000</v>
      </c>
      <c r="B23">
        <v>1000</v>
      </c>
      <c r="C23">
        <v>6.9077552789821368</v>
      </c>
      <c r="D23">
        <v>0.122226</v>
      </c>
      <c r="E23">
        <v>0.16328094097969276</v>
      </c>
      <c r="Q23">
        <v>1000</v>
      </c>
      <c r="R23" t="s">
        <v>59</v>
      </c>
      <c r="S23" t="s">
        <v>114</v>
      </c>
      <c r="T23" t="s">
        <v>60</v>
      </c>
    </row>
    <row r="24" spans="1:20" x14ac:dyDescent="0.3">
      <c r="A24">
        <v>1300</v>
      </c>
      <c r="B24">
        <v>1300</v>
      </c>
      <c r="C24">
        <v>7.1701195434496281</v>
      </c>
      <c r="D24">
        <v>9.3951000000000007E-2</v>
      </c>
      <c r="E24">
        <v>0.12610833251405668</v>
      </c>
      <c r="Q24">
        <v>1300</v>
      </c>
      <c r="R24" t="s">
        <v>61</v>
      </c>
      <c r="S24" t="s">
        <v>115</v>
      </c>
      <c r="T24" t="s">
        <v>62</v>
      </c>
    </row>
    <row r="25" spans="1:20" x14ac:dyDescent="0.3">
      <c r="A25">
        <v>1600</v>
      </c>
      <c r="B25">
        <v>1600</v>
      </c>
      <c r="C25">
        <v>7.3777589082278725</v>
      </c>
      <c r="D25">
        <v>7.6087000000000002E-2</v>
      </c>
      <c r="E25">
        <v>0.10255259976341016</v>
      </c>
      <c r="Q25">
        <v>1600</v>
      </c>
      <c r="R25" t="s">
        <v>63</v>
      </c>
      <c r="S25" t="s">
        <v>116</v>
      </c>
      <c r="T25" t="s">
        <v>64</v>
      </c>
    </row>
    <row r="26" spans="1:20" x14ac:dyDescent="0.3">
      <c r="A26">
        <v>2000</v>
      </c>
      <c r="B26">
        <v>2000</v>
      </c>
      <c r="C26">
        <v>7.6009024595420822</v>
      </c>
      <c r="D26">
        <v>6.046E-2</v>
      </c>
      <c r="E26">
        <v>8.1897891487364122E-2</v>
      </c>
      <c r="Q26">
        <v>2000</v>
      </c>
      <c r="R26" t="s">
        <v>65</v>
      </c>
      <c r="S26" t="s">
        <v>117</v>
      </c>
      <c r="T26" t="s">
        <v>66</v>
      </c>
    </row>
    <row r="27" spans="1:20" x14ac:dyDescent="0.3">
      <c r="A27">
        <v>2600</v>
      </c>
      <c r="B27">
        <v>2600</v>
      </c>
      <c r="C27">
        <v>7.8632667240095735</v>
      </c>
      <c r="D27">
        <v>4.5863000000000001E-2</v>
      </c>
      <c r="E27">
        <v>6.267993545635428E-2</v>
      </c>
      <c r="Q27">
        <v>2600</v>
      </c>
      <c r="R27" t="s">
        <v>67</v>
      </c>
      <c r="S27" t="s">
        <v>118</v>
      </c>
      <c r="T27" t="s">
        <v>68</v>
      </c>
    </row>
    <row r="28" spans="1:20" x14ac:dyDescent="0.3">
      <c r="A28">
        <v>3300</v>
      </c>
      <c r="B28">
        <v>3300</v>
      </c>
      <c r="C28">
        <v>8.1016777474545716</v>
      </c>
      <c r="D28">
        <v>3.5385E-2</v>
      </c>
      <c r="E28">
        <v>4.8906026955266677E-2</v>
      </c>
      <c r="Q28">
        <v>3300</v>
      </c>
      <c r="R28" t="s">
        <v>69</v>
      </c>
      <c r="S28" t="s">
        <v>119</v>
      </c>
      <c r="T28" t="s">
        <v>70</v>
      </c>
    </row>
    <row r="29" spans="1:20" x14ac:dyDescent="0.3">
      <c r="A29">
        <v>4300</v>
      </c>
      <c r="B29">
        <v>4300</v>
      </c>
      <c r="C29">
        <v>8.3663703016816537</v>
      </c>
      <c r="D29">
        <v>2.6165000000000001E-2</v>
      </c>
      <c r="E29">
        <v>3.692516569698838E-2</v>
      </c>
      <c r="Q29">
        <v>4300</v>
      </c>
      <c r="R29" t="s">
        <v>71</v>
      </c>
      <c r="S29" t="s">
        <v>120</v>
      </c>
      <c r="T29" t="s">
        <v>72</v>
      </c>
    </row>
    <row r="30" spans="1:20" x14ac:dyDescent="0.3">
      <c r="A30">
        <v>5500</v>
      </c>
      <c r="B30">
        <v>5500</v>
      </c>
      <c r="C30">
        <v>8.6125033712205621</v>
      </c>
      <c r="D30">
        <v>1.9389E-2</v>
      </c>
      <c r="E30">
        <v>2.8199750921383701E-2</v>
      </c>
      <c r="Q30">
        <v>5500</v>
      </c>
      <c r="R30" t="s">
        <v>73</v>
      </c>
      <c r="S30" t="s">
        <v>121</v>
      </c>
      <c r="T30" t="s">
        <v>74</v>
      </c>
    </row>
    <row r="31" spans="1:20" x14ac:dyDescent="0.3">
      <c r="A31">
        <v>7000</v>
      </c>
      <c r="B31">
        <v>7000</v>
      </c>
      <c r="C31">
        <v>8.8536654280374503</v>
      </c>
      <c r="D31">
        <v>1.4107E-2</v>
      </c>
      <c r="E31">
        <v>2.1463213951887317E-2</v>
      </c>
      <c r="Q31">
        <v>7000</v>
      </c>
      <c r="R31" t="s">
        <v>75</v>
      </c>
      <c r="S31" t="s">
        <v>122</v>
      </c>
      <c r="T31" t="s">
        <v>76</v>
      </c>
    </row>
    <row r="32" spans="1:20" x14ac:dyDescent="0.3">
      <c r="A32">
        <v>9000</v>
      </c>
      <c r="B32">
        <v>9000</v>
      </c>
      <c r="C32">
        <v>9.1049798563183568</v>
      </c>
      <c r="D32">
        <v>9.7999999999999997E-3</v>
      </c>
      <c r="E32">
        <v>1.6070863633465243E-2</v>
      </c>
      <c r="Q32">
        <v>9000</v>
      </c>
      <c r="R32" t="s">
        <v>77</v>
      </c>
      <c r="S32" t="s">
        <v>123</v>
      </c>
      <c r="T32" t="s">
        <v>78</v>
      </c>
    </row>
    <row r="33" spans="1:21" x14ac:dyDescent="0.3">
      <c r="A33">
        <v>11300</v>
      </c>
      <c r="B33">
        <v>11300</v>
      </c>
      <c r="C33">
        <v>9.3325580047004326</v>
      </c>
      <c r="D33">
        <v>6.8110000000000002E-3</v>
      </c>
      <c r="E33">
        <v>1.2505441279660807E-2</v>
      </c>
      <c r="Q33">
        <v>11300</v>
      </c>
      <c r="R33" t="s">
        <v>79</v>
      </c>
      <c r="S33" t="s">
        <v>124</v>
      </c>
      <c r="T33" t="s">
        <v>80</v>
      </c>
    </row>
    <row r="34" spans="1:21" x14ac:dyDescent="0.3">
      <c r="A34">
        <v>14500</v>
      </c>
      <c r="B34">
        <v>14500</v>
      </c>
      <c r="C34">
        <v>9.581903928408666</v>
      </c>
      <c r="D34">
        <v>4.3889999999999997E-3</v>
      </c>
      <c r="E34">
        <v>9.8736330934479487E-3</v>
      </c>
      <c r="Q34">
        <v>14500</v>
      </c>
      <c r="R34" t="s">
        <v>81</v>
      </c>
      <c r="S34" t="s">
        <v>125</v>
      </c>
      <c r="T34" t="s">
        <v>82</v>
      </c>
    </row>
    <row r="35" spans="1:21" x14ac:dyDescent="0.3">
      <c r="A35">
        <v>18500</v>
      </c>
      <c r="B35">
        <v>18500</v>
      </c>
      <c r="C35">
        <v>9.8255260110664153</v>
      </c>
      <c r="D35">
        <v>2.7330000000000002E-3</v>
      </c>
      <c r="E35">
        <v>8.6612149889457365E-3</v>
      </c>
      <c r="Q35">
        <v>18500</v>
      </c>
      <c r="R35" t="s">
        <v>83</v>
      </c>
      <c r="S35" t="s">
        <v>126</v>
      </c>
      <c r="T35" t="s">
        <v>84</v>
      </c>
    </row>
    <row r="36" spans="1:21" x14ac:dyDescent="0.3">
      <c r="A36">
        <v>23500</v>
      </c>
      <c r="B36">
        <v>23500</v>
      </c>
      <c r="C36">
        <v>10.064755700132251</v>
      </c>
      <c r="D36">
        <v>1.64E-3</v>
      </c>
      <c r="E36">
        <v>9.1381362803645231E-3</v>
      </c>
      <c r="Q36">
        <v>23500</v>
      </c>
      <c r="R36" t="s">
        <v>85</v>
      </c>
      <c r="S36" t="s">
        <v>127</v>
      </c>
      <c r="T36" t="s">
        <v>86</v>
      </c>
    </row>
    <row r="37" spans="1:21" x14ac:dyDescent="0.3">
      <c r="A37">
        <v>30000</v>
      </c>
      <c r="B37">
        <v>30000</v>
      </c>
      <c r="C37">
        <v>10.308952660644293</v>
      </c>
      <c r="D37">
        <v>9.2500000000000004E-4</v>
      </c>
      <c r="E37">
        <v>1.6672171808297952E-2</v>
      </c>
      <c r="Q37">
        <v>30000</v>
      </c>
      <c r="R37" t="s">
        <v>87</v>
      </c>
      <c r="S37" t="s">
        <v>128</v>
      </c>
      <c r="T37" t="s">
        <v>88</v>
      </c>
    </row>
    <row r="39" spans="1:21" x14ac:dyDescent="0.3">
      <c r="Q39" t="s">
        <v>129</v>
      </c>
    </row>
    <row r="40" spans="1:21" x14ac:dyDescent="0.3">
      <c r="Q40" t="s">
        <v>130</v>
      </c>
      <c r="R40" t="s">
        <v>131</v>
      </c>
      <c r="S40" t="s">
        <v>132</v>
      </c>
      <c r="T40" t="s">
        <v>133</v>
      </c>
      <c r="U40" t="s">
        <v>134</v>
      </c>
    </row>
    <row r="41" spans="1:21" x14ac:dyDescent="0.3">
      <c r="Q41" t="s">
        <v>135</v>
      </c>
      <c r="R41" t="s">
        <v>136</v>
      </c>
      <c r="S41" t="s">
        <v>137</v>
      </c>
      <c r="T41" t="s">
        <v>138</v>
      </c>
    </row>
    <row r="42" spans="1:21" x14ac:dyDescent="0.3">
      <c r="Q42">
        <v>20</v>
      </c>
      <c r="R42" t="s">
        <v>139</v>
      </c>
      <c r="S42" t="s">
        <v>140</v>
      </c>
      <c r="T42" t="s">
        <v>141</v>
      </c>
    </row>
    <row r="43" spans="1:21" x14ac:dyDescent="0.3">
      <c r="Q43">
        <v>30</v>
      </c>
      <c r="R43" t="s">
        <v>142</v>
      </c>
      <c r="S43" t="s">
        <v>143</v>
      </c>
      <c r="T43" t="s">
        <v>144</v>
      </c>
    </row>
    <row r="44" spans="1:21" x14ac:dyDescent="0.3">
      <c r="Q44">
        <v>40</v>
      </c>
      <c r="R44" t="s">
        <v>145</v>
      </c>
      <c r="S44" t="s">
        <v>146</v>
      </c>
      <c r="T44" t="s">
        <v>147</v>
      </c>
    </row>
    <row r="45" spans="1:21" x14ac:dyDescent="0.3">
      <c r="Q45">
        <v>50</v>
      </c>
      <c r="R45" t="s">
        <v>148</v>
      </c>
      <c r="S45" t="s">
        <v>149</v>
      </c>
      <c r="T45" t="s">
        <v>150</v>
      </c>
    </row>
    <row r="46" spans="1:21" x14ac:dyDescent="0.3">
      <c r="Q46">
        <v>60</v>
      </c>
      <c r="R46" t="s">
        <v>151</v>
      </c>
      <c r="S46" t="s">
        <v>152</v>
      </c>
      <c r="T46" t="s">
        <v>153</v>
      </c>
    </row>
    <row r="47" spans="1:21" x14ac:dyDescent="0.3">
      <c r="Q47">
        <v>70</v>
      </c>
      <c r="R47" t="s">
        <v>154</v>
      </c>
      <c r="S47" t="s">
        <v>155</v>
      </c>
      <c r="T47" t="s">
        <v>156</v>
      </c>
    </row>
    <row r="48" spans="1:21" x14ac:dyDescent="0.3">
      <c r="Q48">
        <v>80</v>
      </c>
      <c r="R48" t="s">
        <v>157</v>
      </c>
      <c r="S48" t="s">
        <v>158</v>
      </c>
      <c r="T48" t="s">
        <v>159</v>
      </c>
    </row>
    <row r="49" spans="17:20" x14ac:dyDescent="0.3">
      <c r="Q49">
        <v>90</v>
      </c>
      <c r="R49" t="s">
        <v>160</v>
      </c>
      <c r="S49" t="s">
        <v>161</v>
      </c>
      <c r="T49" t="s">
        <v>162</v>
      </c>
    </row>
    <row r="50" spans="17:20" x14ac:dyDescent="0.3">
      <c r="Q50">
        <v>100</v>
      </c>
      <c r="R50" t="s">
        <v>163</v>
      </c>
      <c r="S50" t="s">
        <v>164</v>
      </c>
      <c r="T50" t="s">
        <v>165</v>
      </c>
    </row>
    <row r="51" spans="17:20" x14ac:dyDescent="0.3">
      <c r="Q51">
        <v>110</v>
      </c>
      <c r="R51" t="s">
        <v>166</v>
      </c>
      <c r="S51" t="s">
        <v>167</v>
      </c>
      <c r="T51" t="s">
        <v>168</v>
      </c>
    </row>
    <row r="52" spans="17:20" x14ac:dyDescent="0.3">
      <c r="Q52">
        <v>120</v>
      </c>
      <c r="R52" t="s">
        <v>169</v>
      </c>
      <c r="S52" t="s">
        <v>170</v>
      </c>
      <c r="T52" t="s">
        <v>171</v>
      </c>
    </row>
    <row r="53" spans="17:20" x14ac:dyDescent="0.3">
      <c r="Q53">
        <v>140</v>
      </c>
      <c r="R53" t="s">
        <v>172</v>
      </c>
      <c r="S53" t="s">
        <v>173</v>
      </c>
      <c r="T53" t="s">
        <v>174</v>
      </c>
    </row>
    <row r="54" spans="17:20" x14ac:dyDescent="0.3">
      <c r="Q54">
        <v>160</v>
      </c>
      <c r="R54" t="s">
        <v>175</v>
      </c>
      <c r="S54" t="s">
        <v>176</v>
      </c>
      <c r="T54" t="s">
        <v>177</v>
      </c>
    </row>
    <row r="55" spans="17:20" x14ac:dyDescent="0.3">
      <c r="Q55">
        <v>180</v>
      </c>
      <c r="R55" t="s">
        <v>178</v>
      </c>
      <c r="S55" t="s">
        <v>179</v>
      </c>
      <c r="T55" t="s">
        <v>180</v>
      </c>
    </row>
    <row r="56" spans="17:20" x14ac:dyDescent="0.3">
      <c r="Q56">
        <v>200</v>
      </c>
      <c r="R56" t="s">
        <v>181</v>
      </c>
      <c r="S56" t="s">
        <v>182</v>
      </c>
      <c r="T56" t="s">
        <v>183</v>
      </c>
    </row>
    <row r="57" spans="17:20" x14ac:dyDescent="0.3">
      <c r="Q57">
        <v>300</v>
      </c>
      <c r="R57" t="s">
        <v>184</v>
      </c>
      <c r="S57" t="s">
        <v>185</v>
      </c>
      <c r="T57" t="s">
        <v>186</v>
      </c>
    </row>
    <row r="58" spans="17:20" x14ac:dyDescent="0.3">
      <c r="Q58">
        <v>400</v>
      </c>
      <c r="R58" t="s">
        <v>187</v>
      </c>
      <c r="S58" t="s">
        <v>188</v>
      </c>
      <c r="T58" t="s">
        <v>189</v>
      </c>
    </row>
    <row r="59" spans="17:20" x14ac:dyDescent="0.3">
      <c r="Q59">
        <v>500</v>
      </c>
      <c r="R59" t="s">
        <v>190</v>
      </c>
      <c r="S59" t="s">
        <v>191</v>
      </c>
      <c r="T59" t="s">
        <v>192</v>
      </c>
    </row>
    <row r="60" spans="17:20" x14ac:dyDescent="0.3">
      <c r="Q60">
        <v>600</v>
      </c>
      <c r="R60" t="s">
        <v>193</v>
      </c>
      <c r="S60" t="s">
        <v>194</v>
      </c>
      <c r="T60" t="s">
        <v>195</v>
      </c>
    </row>
    <row r="61" spans="17:20" x14ac:dyDescent="0.3">
      <c r="Q61">
        <v>700</v>
      </c>
      <c r="R61" t="s">
        <v>196</v>
      </c>
      <c r="S61" t="s">
        <v>197</v>
      </c>
      <c r="T61" t="s">
        <v>198</v>
      </c>
    </row>
    <row r="62" spans="17:20" x14ac:dyDescent="0.3">
      <c r="Q62">
        <v>800</v>
      </c>
      <c r="R62" t="s">
        <v>199</v>
      </c>
      <c r="S62" t="s">
        <v>200</v>
      </c>
      <c r="T62" t="s">
        <v>201</v>
      </c>
    </row>
    <row r="63" spans="17:20" x14ac:dyDescent="0.3">
      <c r="Q63">
        <v>900</v>
      </c>
      <c r="R63" t="s">
        <v>202</v>
      </c>
      <c r="S63" t="s">
        <v>203</v>
      </c>
      <c r="T63" t="s">
        <v>204</v>
      </c>
    </row>
    <row r="64" spans="17:20" x14ac:dyDescent="0.3">
      <c r="Q64">
        <v>1000</v>
      </c>
      <c r="R64" t="s">
        <v>205</v>
      </c>
      <c r="S64" t="s">
        <v>206</v>
      </c>
      <c r="T64" t="s">
        <v>207</v>
      </c>
    </row>
    <row r="65" spans="17:20" x14ac:dyDescent="0.3">
      <c r="Q65">
        <v>1300</v>
      </c>
      <c r="R65" t="s">
        <v>208</v>
      </c>
      <c r="S65" t="s">
        <v>209</v>
      </c>
      <c r="T65" t="s">
        <v>210</v>
      </c>
    </row>
    <row r="66" spans="17:20" x14ac:dyDescent="0.3">
      <c r="Q66">
        <v>1600</v>
      </c>
      <c r="R66" t="s">
        <v>211</v>
      </c>
      <c r="S66" t="s">
        <v>212</v>
      </c>
      <c r="T66" t="s">
        <v>213</v>
      </c>
    </row>
    <row r="67" spans="17:20" x14ac:dyDescent="0.3">
      <c r="Q67">
        <v>2000</v>
      </c>
      <c r="R67" t="s">
        <v>214</v>
      </c>
      <c r="S67" t="s">
        <v>215</v>
      </c>
      <c r="T67" t="s">
        <v>216</v>
      </c>
    </row>
    <row r="68" spans="17:20" x14ac:dyDescent="0.3">
      <c r="Q68">
        <v>2600</v>
      </c>
      <c r="R68" t="s">
        <v>217</v>
      </c>
      <c r="S68" t="s">
        <v>218</v>
      </c>
      <c r="T68" t="s">
        <v>219</v>
      </c>
    </row>
    <row r="69" spans="17:20" x14ac:dyDescent="0.3">
      <c r="Q69">
        <v>3300</v>
      </c>
      <c r="R69" t="s">
        <v>220</v>
      </c>
      <c r="S69" t="s">
        <v>221</v>
      </c>
      <c r="T69" t="s">
        <v>222</v>
      </c>
    </row>
    <row r="70" spans="17:20" x14ac:dyDescent="0.3">
      <c r="Q70">
        <v>4300</v>
      </c>
      <c r="R70" t="s">
        <v>223</v>
      </c>
      <c r="S70" t="s">
        <v>224</v>
      </c>
      <c r="T70" t="s">
        <v>225</v>
      </c>
    </row>
    <row r="71" spans="17:20" x14ac:dyDescent="0.3">
      <c r="Q71">
        <v>5500</v>
      </c>
      <c r="R71" t="s">
        <v>226</v>
      </c>
      <c r="S71" t="s">
        <v>227</v>
      </c>
      <c r="T71" t="s">
        <v>228</v>
      </c>
    </row>
    <row r="72" spans="17:20" x14ac:dyDescent="0.3">
      <c r="Q72">
        <v>7000</v>
      </c>
      <c r="R72" t="s">
        <v>229</v>
      </c>
      <c r="S72" t="s">
        <v>230</v>
      </c>
      <c r="T72" t="s">
        <v>231</v>
      </c>
    </row>
    <row r="73" spans="17:20" x14ac:dyDescent="0.3">
      <c r="Q73">
        <v>9000</v>
      </c>
      <c r="R73" t="s">
        <v>232</v>
      </c>
      <c r="S73" t="s">
        <v>233</v>
      </c>
      <c r="T73" t="s">
        <v>234</v>
      </c>
    </row>
    <row r="74" spans="17:20" x14ac:dyDescent="0.3">
      <c r="Q74">
        <v>11300</v>
      </c>
      <c r="R74" t="s">
        <v>235</v>
      </c>
      <c r="S74" t="s">
        <v>236</v>
      </c>
      <c r="T74" t="s">
        <v>237</v>
      </c>
    </row>
    <row r="75" spans="17:20" x14ac:dyDescent="0.3">
      <c r="Q75">
        <v>14500</v>
      </c>
      <c r="R75" t="s">
        <v>238</v>
      </c>
      <c r="S75" t="s">
        <v>239</v>
      </c>
      <c r="T75" t="s">
        <v>240</v>
      </c>
    </row>
    <row r="76" spans="17:20" x14ac:dyDescent="0.3">
      <c r="Q76">
        <v>18500</v>
      </c>
      <c r="R76" t="s">
        <v>241</v>
      </c>
      <c r="S76" t="s">
        <v>242</v>
      </c>
      <c r="T76" t="s">
        <v>243</v>
      </c>
    </row>
    <row r="77" spans="17:20" x14ac:dyDescent="0.3">
      <c r="Q77">
        <v>23500</v>
      </c>
      <c r="R77" t="s">
        <v>244</v>
      </c>
      <c r="S77" t="s">
        <v>245</v>
      </c>
      <c r="T77" t="s">
        <v>246</v>
      </c>
    </row>
    <row r="78" spans="17:20" x14ac:dyDescent="0.3">
      <c r="Q78">
        <v>30000</v>
      </c>
      <c r="R78" t="s">
        <v>247</v>
      </c>
      <c r="S78" t="s">
        <v>248</v>
      </c>
      <c r="T78" t="s">
        <v>249</v>
      </c>
    </row>
  </sheetData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C52E8E-21FA-4CAD-B814-EEB12EC77889}">
  <dimension ref="A1:F38"/>
  <sheetViews>
    <sheetView tabSelected="1" workbookViewId="0">
      <selection activeCell="B1" sqref="B1:F38"/>
    </sheetView>
  </sheetViews>
  <sheetFormatPr defaultRowHeight="14.4" x14ac:dyDescent="0.3"/>
  <sheetData>
    <row r="1" spans="1:6" x14ac:dyDescent="0.3">
      <c r="A1" t="s">
        <v>89</v>
      </c>
      <c r="B1" t="s">
        <v>90</v>
      </c>
      <c r="C1" t="s">
        <v>91</v>
      </c>
      <c r="D1">
        <v>4.4400000000000004</v>
      </c>
      <c r="E1">
        <v>5.6</v>
      </c>
      <c r="F1">
        <v>6.78</v>
      </c>
    </row>
    <row r="2" spans="1:6" x14ac:dyDescent="0.3">
      <c r="A2">
        <v>20</v>
      </c>
      <c r="B2">
        <f>LN(A2)</f>
        <v>2.9957322735539909</v>
      </c>
      <c r="C2">
        <v>0.99586673809244208</v>
      </c>
      <c r="D2">
        <v>0.99244399999999999</v>
      </c>
      <c r="E2">
        <v>0.98806000000000005</v>
      </c>
      <c r="F2">
        <v>0.98264200000000002</v>
      </c>
    </row>
    <row r="3" spans="1:6" x14ac:dyDescent="0.3">
      <c r="A3">
        <v>30</v>
      </c>
      <c r="B3">
        <f t="shared" ref="B3:B38" si="0">LN(A3)</f>
        <v>3.4011973816621555</v>
      </c>
      <c r="C3">
        <v>0.98355214577278116</v>
      </c>
      <c r="D3">
        <v>0.983236</v>
      </c>
      <c r="E3">
        <v>0.973719</v>
      </c>
      <c r="F3">
        <v>0.96216400000000002</v>
      </c>
    </row>
    <row r="4" spans="1:6" x14ac:dyDescent="0.3">
      <c r="A4">
        <v>40</v>
      </c>
      <c r="B4">
        <f t="shared" si="0"/>
        <v>3.6888794541139363</v>
      </c>
      <c r="C4">
        <v>0.96807661888370267</v>
      </c>
      <c r="D4">
        <v>0.97076399999999996</v>
      </c>
      <c r="E4">
        <v>0.95465199999999995</v>
      </c>
      <c r="F4">
        <v>0.93553299999999995</v>
      </c>
    </row>
    <row r="5" spans="1:6" x14ac:dyDescent="0.3">
      <c r="A5">
        <v>50</v>
      </c>
      <c r="B5">
        <f t="shared" si="0"/>
        <v>3.912023005428146</v>
      </c>
      <c r="C5">
        <v>0.9498809142375253</v>
      </c>
      <c r="D5">
        <v>0.95540499999999995</v>
      </c>
      <c r="E5">
        <v>0.93170699999999995</v>
      </c>
      <c r="F5">
        <v>0.90433300000000005</v>
      </c>
    </row>
    <row r="6" spans="1:6" x14ac:dyDescent="0.3">
      <c r="A6">
        <v>60</v>
      </c>
      <c r="B6">
        <f t="shared" si="0"/>
        <v>4.0943445622221004</v>
      </c>
      <c r="C6">
        <v>0.93153366325406539</v>
      </c>
      <c r="D6">
        <v>0.93758699999999995</v>
      </c>
      <c r="E6">
        <v>0.90578800000000004</v>
      </c>
      <c r="F6">
        <v>0.87012900000000004</v>
      </c>
    </row>
    <row r="7" spans="1:6" x14ac:dyDescent="0.3">
      <c r="A7">
        <v>70</v>
      </c>
      <c r="B7">
        <f t="shared" si="0"/>
        <v>4.2484952420493594</v>
      </c>
      <c r="C7">
        <v>0.91175113283810016</v>
      </c>
      <c r="D7">
        <v>0.91776199999999997</v>
      </c>
      <c r="E7">
        <v>0.87777799999999995</v>
      </c>
      <c r="F7">
        <v>0.83430899999999997</v>
      </c>
    </row>
    <row r="8" spans="1:6" x14ac:dyDescent="0.3">
      <c r="A8">
        <v>80</v>
      </c>
      <c r="B8">
        <f t="shared" si="0"/>
        <v>4.3820266346738812</v>
      </c>
      <c r="C8">
        <v>0.89086663834706081</v>
      </c>
      <c r="D8">
        <v>0.89637800000000001</v>
      </c>
      <c r="E8">
        <v>0.84847600000000001</v>
      </c>
      <c r="F8">
        <v>0.79800800000000005</v>
      </c>
    </row>
    <row r="9" spans="1:6" x14ac:dyDescent="0.3">
      <c r="A9">
        <v>90</v>
      </c>
      <c r="B9">
        <f t="shared" si="0"/>
        <v>4.499809670330265</v>
      </c>
      <c r="C9">
        <v>0.86877905549825096</v>
      </c>
      <c r="D9">
        <v>0.87385999999999997</v>
      </c>
      <c r="E9">
        <v>0.81857000000000002</v>
      </c>
      <c r="F9">
        <v>0.76209000000000005</v>
      </c>
    </row>
    <row r="10" spans="1:6" x14ac:dyDescent="0.3">
      <c r="A10">
        <v>100</v>
      </c>
      <c r="B10">
        <f t="shared" si="0"/>
        <v>4.6051701859880918</v>
      </c>
      <c r="C10">
        <v>0.84625585691440874</v>
      </c>
      <c r="D10">
        <v>0.85059700000000005</v>
      </c>
      <c r="E10">
        <v>0.78861800000000004</v>
      </c>
      <c r="F10">
        <v>0.72716899999999995</v>
      </c>
    </row>
    <row r="11" spans="1:6" x14ac:dyDescent="0.3">
      <c r="A11">
        <v>110</v>
      </c>
      <c r="B11">
        <f t="shared" si="0"/>
        <v>4.7004803657924166</v>
      </c>
      <c r="C11">
        <v>0.82351100608358418</v>
      </c>
      <c r="D11">
        <v>0.82692699999999997</v>
      </c>
      <c r="E11">
        <v>0.75905599999999995</v>
      </c>
      <c r="F11">
        <v>0.69365200000000005</v>
      </c>
    </row>
    <row r="12" spans="1:6" x14ac:dyDescent="0.3">
      <c r="A12">
        <v>120</v>
      </c>
      <c r="B12">
        <f t="shared" si="0"/>
        <v>4.7874917427820458</v>
      </c>
      <c r="C12">
        <v>0.80159288517026162</v>
      </c>
      <c r="D12">
        <v>0.80314099999999999</v>
      </c>
      <c r="E12">
        <v>0.73020799999999997</v>
      </c>
      <c r="F12">
        <v>0.66177900000000001</v>
      </c>
    </row>
    <row r="13" spans="1:6" x14ac:dyDescent="0.3">
      <c r="A13">
        <v>140</v>
      </c>
      <c r="B13">
        <f t="shared" si="0"/>
        <v>4.9416424226093039</v>
      </c>
      <c r="C13">
        <v>0.75614467816488762</v>
      </c>
      <c r="D13">
        <v>0.756135</v>
      </c>
      <c r="E13">
        <v>0.67548200000000003</v>
      </c>
      <c r="F13">
        <v>0.60335899999999998</v>
      </c>
    </row>
    <row r="14" spans="1:6" x14ac:dyDescent="0.3">
      <c r="A14">
        <v>160</v>
      </c>
      <c r="B14">
        <f t="shared" si="0"/>
        <v>5.0751738152338266</v>
      </c>
      <c r="C14">
        <v>0.71230576764076647</v>
      </c>
      <c r="D14">
        <v>0.71095900000000001</v>
      </c>
      <c r="E14">
        <v>0.62542200000000003</v>
      </c>
      <c r="F14">
        <v>0.55199600000000004</v>
      </c>
    </row>
    <row r="15" spans="1:6" x14ac:dyDescent="0.3">
      <c r="A15">
        <v>180</v>
      </c>
      <c r="B15">
        <f t="shared" si="0"/>
        <v>5.1929568508902104</v>
      </c>
      <c r="C15">
        <v>0.67161602650116936</v>
      </c>
      <c r="D15">
        <v>0.66840299999999997</v>
      </c>
      <c r="E15">
        <v>0.58024399999999998</v>
      </c>
      <c r="F15">
        <v>0.50712699999999999</v>
      </c>
    </row>
    <row r="16" spans="1:6" x14ac:dyDescent="0.3">
      <c r="A16">
        <v>200</v>
      </c>
      <c r="B16">
        <f t="shared" si="0"/>
        <v>5.2983173665480363</v>
      </c>
      <c r="C16">
        <v>0.63316497795527205</v>
      </c>
      <c r="D16">
        <v>0.62883500000000003</v>
      </c>
      <c r="E16">
        <v>0.53975399999999996</v>
      </c>
      <c r="F16">
        <v>0.46797</v>
      </c>
    </row>
    <row r="17" spans="1:6" x14ac:dyDescent="0.3">
      <c r="A17">
        <v>300</v>
      </c>
      <c r="B17">
        <f t="shared" si="0"/>
        <v>5.7037824746562009</v>
      </c>
      <c r="C17">
        <v>0.48074305500048076</v>
      </c>
      <c r="D17">
        <v>0.47452100000000003</v>
      </c>
      <c r="E17">
        <v>0.39295999999999998</v>
      </c>
      <c r="F17">
        <v>0.33277400000000001</v>
      </c>
    </row>
    <row r="18" spans="1:6" x14ac:dyDescent="0.3">
      <c r="A18">
        <v>400</v>
      </c>
      <c r="B18">
        <f t="shared" si="0"/>
        <v>5.9914645471079817</v>
      </c>
      <c r="C18">
        <v>0.38073452754447112</v>
      </c>
      <c r="D18">
        <v>0.37475799999999998</v>
      </c>
      <c r="E18">
        <v>0.30510900000000002</v>
      </c>
      <c r="F18">
        <v>0.25572699999999998</v>
      </c>
    </row>
    <row r="19" spans="1:6" x14ac:dyDescent="0.3">
      <c r="A19">
        <v>500</v>
      </c>
      <c r="B19">
        <f t="shared" si="0"/>
        <v>6.2146080984221914</v>
      </c>
      <c r="C19">
        <v>0.31303767364998736</v>
      </c>
      <c r="D19">
        <v>0.30760300000000002</v>
      </c>
      <c r="E19">
        <v>0.24817400000000001</v>
      </c>
      <c r="F19">
        <v>0.206897</v>
      </c>
    </row>
    <row r="20" spans="1:6" x14ac:dyDescent="0.3">
      <c r="A20">
        <v>600</v>
      </c>
      <c r="B20">
        <f t="shared" si="0"/>
        <v>6.3969296552161463</v>
      </c>
      <c r="C20">
        <v>0.26532067943559101</v>
      </c>
      <c r="D20">
        <v>0.26003599999999999</v>
      </c>
      <c r="E20">
        <v>0.208671</v>
      </c>
      <c r="F20">
        <v>0.17341100000000001</v>
      </c>
    </row>
    <row r="21" spans="1:6" x14ac:dyDescent="0.3">
      <c r="A21">
        <v>700</v>
      </c>
      <c r="B21">
        <f t="shared" si="0"/>
        <v>6.5510803350434044</v>
      </c>
      <c r="C21">
        <v>0.2296254008306142</v>
      </c>
      <c r="D21">
        <v>0.224824</v>
      </c>
      <c r="E21">
        <v>0.179785</v>
      </c>
      <c r="F21">
        <v>0.14909</v>
      </c>
    </row>
    <row r="22" spans="1:6" x14ac:dyDescent="0.3">
      <c r="A22">
        <v>800</v>
      </c>
      <c r="B22">
        <f t="shared" si="0"/>
        <v>6.6846117276679271</v>
      </c>
      <c r="C22">
        <v>0.20235775850839999</v>
      </c>
      <c r="D22">
        <v>0.19780300000000001</v>
      </c>
      <c r="E22">
        <v>0.15779099999999999</v>
      </c>
      <c r="F22">
        <v>0.13064799999999999</v>
      </c>
    </row>
    <row r="23" spans="1:6" x14ac:dyDescent="0.3">
      <c r="A23">
        <v>900</v>
      </c>
      <c r="B23">
        <f t="shared" si="0"/>
        <v>6.8023947633243109</v>
      </c>
      <c r="C23">
        <v>0.18072306868054791</v>
      </c>
      <c r="D23">
        <v>0.176456</v>
      </c>
      <c r="E23">
        <v>0.14050499999999999</v>
      </c>
      <c r="F23">
        <v>0.116192</v>
      </c>
    </row>
    <row r="24" spans="1:6" x14ac:dyDescent="0.3">
      <c r="A24">
        <v>1000</v>
      </c>
      <c r="B24">
        <f t="shared" si="0"/>
        <v>6.9077552789821368</v>
      </c>
      <c r="C24">
        <v>0.16328094097969276</v>
      </c>
      <c r="D24">
        <v>0.15918599999999999</v>
      </c>
      <c r="E24">
        <v>0.12656899999999999</v>
      </c>
      <c r="F24">
        <v>0.104559</v>
      </c>
    </row>
    <row r="25" spans="1:6" x14ac:dyDescent="0.3">
      <c r="A25">
        <v>1300</v>
      </c>
      <c r="B25">
        <f t="shared" si="0"/>
        <v>7.1701195434496281</v>
      </c>
      <c r="C25">
        <v>0.12610833251405668</v>
      </c>
      <c r="D25">
        <v>0.12281599999999999</v>
      </c>
      <c r="E25">
        <v>9.7336000000000006E-2</v>
      </c>
      <c r="F25">
        <v>8.0194000000000001E-2</v>
      </c>
    </row>
    <row r="26" spans="1:6" x14ac:dyDescent="0.3">
      <c r="A26">
        <v>1600</v>
      </c>
      <c r="B26">
        <f t="shared" si="0"/>
        <v>7.3777589082278725</v>
      </c>
      <c r="C26">
        <v>0.10255259976341016</v>
      </c>
      <c r="D26">
        <v>9.9765000000000006E-2</v>
      </c>
      <c r="E26">
        <v>7.8863000000000003E-2</v>
      </c>
      <c r="F26">
        <v>6.4809000000000005E-2</v>
      </c>
    </row>
    <row r="27" spans="1:6" x14ac:dyDescent="0.3">
      <c r="A27">
        <v>2000</v>
      </c>
      <c r="B27">
        <f t="shared" si="0"/>
        <v>7.6009024595420822</v>
      </c>
      <c r="C27">
        <v>8.1897891487364122E-2</v>
      </c>
      <c r="D27">
        <v>7.9587000000000005E-2</v>
      </c>
      <c r="E27">
        <v>6.2701999999999994E-2</v>
      </c>
      <c r="F27">
        <v>5.1340999999999998E-2</v>
      </c>
    </row>
    <row r="28" spans="1:6" x14ac:dyDescent="0.3">
      <c r="A28">
        <v>2600</v>
      </c>
      <c r="B28">
        <f t="shared" si="0"/>
        <v>7.8632667240095735</v>
      </c>
      <c r="C28">
        <v>6.267993545635428E-2</v>
      </c>
      <c r="D28">
        <v>6.0763999999999999E-2</v>
      </c>
      <c r="E28">
        <v>4.7612000000000002E-2</v>
      </c>
      <c r="F28">
        <v>3.8741999999999999E-2</v>
      </c>
    </row>
    <row r="29" spans="1:6" x14ac:dyDescent="0.3">
      <c r="A29">
        <v>3300</v>
      </c>
      <c r="B29">
        <f t="shared" si="0"/>
        <v>8.1016777474545716</v>
      </c>
      <c r="C29">
        <v>4.8906026955266677E-2</v>
      </c>
      <c r="D29">
        <v>4.7294000000000003E-2</v>
      </c>
      <c r="E29">
        <v>3.6784999999999998E-2</v>
      </c>
      <c r="F29">
        <v>2.9678E-2</v>
      </c>
    </row>
    <row r="30" spans="1:6" x14ac:dyDescent="0.3">
      <c r="A30">
        <v>4300</v>
      </c>
      <c r="B30">
        <f t="shared" si="0"/>
        <v>8.3663703016816537</v>
      </c>
      <c r="C30">
        <v>3.692516569698838E-2</v>
      </c>
      <c r="D30">
        <v>3.5484000000000002E-2</v>
      </c>
      <c r="E30">
        <v>2.7262000000000002E-2</v>
      </c>
      <c r="F30">
        <v>2.1690000000000001E-2</v>
      </c>
    </row>
    <row r="31" spans="1:6" x14ac:dyDescent="0.3">
      <c r="A31">
        <v>5500</v>
      </c>
      <c r="B31">
        <f t="shared" si="0"/>
        <v>8.6125033712205621</v>
      </c>
      <c r="C31">
        <v>2.8199750921383701E-2</v>
      </c>
      <c r="D31">
        <v>2.682E-2</v>
      </c>
      <c r="E31">
        <v>2.0263E-2</v>
      </c>
      <c r="F31">
        <v>1.5831000000000001E-2</v>
      </c>
    </row>
    <row r="32" spans="1:6" x14ac:dyDescent="0.3">
      <c r="A32">
        <v>7000</v>
      </c>
      <c r="B32">
        <f t="shared" si="0"/>
        <v>8.8536654280374503</v>
      </c>
      <c r="C32">
        <v>2.1463213951887317E-2</v>
      </c>
      <c r="D32">
        <v>2.0035000000000001E-2</v>
      </c>
      <c r="E32">
        <v>1.4801E-2</v>
      </c>
      <c r="F32">
        <v>1.1299E-2</v>
      </c>
    </row>
    <row r="33" spans="1:6" x14ac:dyDescent="0.3">
      <c r="A33">
        <v>9000</v>
      </c>
      <c r="B33">
        <f t="shared" si="0"/>
        <v>9.1049798563183568</v>
      </c>
      <c r="C33">
        <v>1.6070863633465243E-2</v>
      </c>
      <c r="D33">
        <v>1.4418E-2</v>
      </c>
      <c r="E33">
        <v>1.0335E-2</v>
      </c>
      <c r="F33">
        <v>7.6639999999999998E-3</v>
      </c>
    </row>
    <row r="34" spans="1:6" x14ac:dyDescent="0.3">
      <c r="A34">
        <v>11300</v>
      </c>
      <c r="B34">
        <f t="shared" si="0"/>
        <v>9.3325580047004326</v>
      </c>
      <c r="C34">
        <v>1.2505441279660807E-2</v>
      </c>
      <c r="D34">
        <v>1.0404999999999999E-2</v>
      </c>
      <c r="E34">
        <v>7.221E-3</v>
      </c>
      <c r="F34">
        <v>5.1999999999999998E-3</v>
      </c>
    </row>
    <row r="35" spans="1:6" x14ac:dyDescent="0.3">
      <c r="A35">
        <v>14500</v>
      </c>
      <c r="B35">
        <f t="shared" si="0"/>
        <v>9.581903928408666</v>
      </c>
      <c r="C35">
        <v>9.8736330934479487E-3</v>
      </c>
      <c r="D35">
        <v>7.0179999999999999E-3</v>
      </c>
      <c r="E35">
        <v>4.6810000000000003E-3</v>
      </c>
      <c r="F35">
        <v>3.2560000000000002E-3</v>
      </c>
    </row>
    <row r="36" spans="1:6" x14ac:dyDescent="0.3">
      <c r="A36">
        <v>18500</v>
      </c>
      <c r="B36">
        <f t="shared" si="0"/>
        <v>9.8255260110664153</v>
      </c>
      <c r="C36">
        <v>8.6612149889457365E-3</v>
      </c>
      <c r="D36">
        <v>4.5840000000000004E-3</v>
      </c>
      <c r="E36">
        <v>2.934E-3</v>
      </c>
      <c r="F36">
        <v>1.9689999999999998E-3</v>
      </c>
    </row>
    <row r="37" spans="1:6" x14ac:dyDescent="0.3">
      <c r="A37">
        <v>23500</v>
      </c>
      <c r="B37">
        <f t="shared" si="0"/>
        <v>10.064755700132251</v>
      </c>
      <c r="C37">
        <v>9.1381362803645231E-3</v>
      </c>
      <c r="D37">
        <v>2.892E-3</v>
      </c>
      <c r="E37">
        <v>1.7730000000000001E-3</v>
      </c>
      <c r="F37">
        <v>1.1440000000000001E-3</v>
      </c>
    </row>
    <row r="38" spans="1:6" x14ac:dyDescent="0.3">
      <c r="A38">
        <v>30000</v>
      </c>
      <c r="B38">
        <f t="shared" si="0"/>
        <v>10.308952660644293</v>
      </c>
      <c r="C38">
        <v>1.6672171808297952E-2</v>
      </c>
      <c r="D38">
        <v>1.7260000000000001E-3</v>
      </c>
      <c r="E38">
        <v>1.008E-3</v>
      </c>
      <c r="F38">
        <v>6.2299999999999996E-4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6</vt:i4>
      </vt:variant>
    </vt:vector>
  </HeadingPairs>
  <TitlesOfParts>
    <vt:vector size="6" baseType="lpstr">
      <vt:lpstr>Лист1</vt:lpstr>
      <vt:lpstr>Лист2</vt:lpstr>
      <vt:lpstr>RLC</vt:lpstr>
      <vt:lpstr>Лист3</vt:lpstr>
      <vt:lpstr>Лист4</vt:lpstr>
      <vt:lpstr>Лист5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Олег Струков</dc:creator>
  <cp:lastModifiedBy>Олег Струков</cp:lastModifiedBy>
  <dcterms:created xsi:type="dcterms:W3CDTF">2025-11-25T06:47:29Z</dcterms:created>
  <dcterms:modified xsi:type="dcterms:W3CDTF">2025-11-27T21:18:15Z</dcterms:modified>
</cp:coreProperties>
</file>