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ezh\OneDrive\Рабочий стол\Лабы\2 семестр\2 1 6 (4)\"/>
    </mc:Choice>
  </mc:AlternateContent>
  <xr:revisionPtr revIDLastSave="0" documentId="13_ncr:1_{21B71914-3CDC-4082-9487-93E97A5E1A80}" xr6:coauthVersionLast="47" xr6:coauthVersionMax="47" xr10:uidLastSave="{00000000-0000-0000-0000-000000000000}"/>
  <bookViews>
    <workbookView xWindow="-108" yWindow="-108" windowWidth="23256" windowHeight="13896" activeTab="1" xr2:uid="{DABC4790-8451-4042-8E94-40EFF5794BD0}"/>
  </bookViews>
  <sheets>
    <sheet name="Лист1" sheetId="1" r:id="rId1"/>
    <sheet name="Латех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23" i="2" l="1"/>
  <c r="K24" i="2"/>
  <c r="K25" i="2"/>
  <c r="K26" i="2"/>
  <c r="K27" i="2"/>
  <c r="K22" i="2"/>
  <c r="J23" i="2"/>
  <c r="J24" i="2"/>
  <c r="J25" i="2"/>
  <c r="J26" i="2"/>
  <c r="J27" i="2"/>
  <c r="J22" i="2"/>
  <c r="I23" i="2"/>
  <c r="I24" i="2"/>
  <c r="I25" i="2"/>
  <c r="I26" i="2"/>
  <c r="I27" i="2"/>
  <c r="I22" i="2"/>
  <c r="J12" i="2"/>
  <c r="J13" i="2"/>
  <c r="J14" i="2"/>
  <c r="J15" i="2"/>
  <c r="J16" i="2"/>
  <c r="J11" i="2"/>
  <c r="H15" i="2"/>
  <c r="H16" i="2"/>
  <c r="H14" i="2"/>
  <c r="H13" i="2"/>
  <c r="H12" i="2"/>
  <c r="I15" i="2"/>
  <c r="I13" i="2"/>
  <c r="I12" i="2"/>
  <c r="I16" i="2"/>
  <c r="I14" i="2"/>
  <c r="I11" i="2"/>
  <c r="G16" i="2"/>
  <c r="H11" i="2"/>
  <c r="G14" i="2"/>
  <c r="G15" i="2"/>
  <c r="G13" i="2"/>
  <c r="G12" i="2"/>
  <c r="G11" i="2"/>
  <c r="G4" i="2"/>
  <c r="G5" i="2"/>
  <c r="G6" i="2"/>
  <c r="G3" i="2"/>
  <c r="H3" i="2"/>
  <c r="D35" i="2"/>
  <c r="D34" i="2"/>
  <c r="D33" i="2"/>
  <c r="D32" i="2"/>
  <c r="D31" i="2"/>
  <c r="D30" i="2"/>
  <c r="D26" i="2"/>
  <c r="D25" i="2"/>
  <c r="D24" i="2"/>
  <c r="D23" i="2"/>
  <c r="D22" i="2"/>
  <c r="D21" i="2"/>
  <c r="D17" i="2"/>
  <c r="D16" i="2"/>
  <c r="D15" i="2"/>
  <c r="D14" i="2"/>
  <c r="D13" i="2"/>
  <c r="D12" i="2"/>
  <c r="D8" i="2"/>
  <c r="D7" i="2"/>
  <c r="D6" i="2"/>
  <c r="D5" i="2"/>
  <c r="D4" i="2"/>
  <c r="D3" i="2"/>
  <c r="D21" i="1"/>
  <c r="D22" i="1"/>
  <c r="D23" i="1"/>
  <c r="D24" i="1"/>
  <c r="D25" i="1"/>
  <c r="D20" i="1"/>
  <c r="D15" i="1"/>
  <c r="D16" i="1"/>
  <c r="D17" i="1"/>
  <c r="D18" i="1"/>
  <c r="D19" i="1"/>
  <c r="D14" i="1"/>
  <c r="D9" i="1"/>
  <c r="D10" i="1"/>
  <c r="D11" i="1"/>
  <c r="D12" i="1"/>
  <c r="D13" i="1"/>
  <c r="D8" i="1"/>
  <c r="D3" i="1"/>
  <c r="D4" i="1"/>
  <c r="D5" i="1"/>
  <c r="D6" i="1"/>
  <c r="D7" i="1"/>
  <c r="D2" i="1"/>
</calcChain>
</file>

<file path=xl/sharedStrings.xml><?xml version="1.0" encoding="utf-8"?>
<sst xmlns="http://schemas.openxmlformats.org/spreadsheetml/2006/main" count="38" uniqueCount="20">
  <si>
    <t>давление, бар</t>
  </si>
  <si>
    <t>температура, С</t>
  </si>
  <si>
    <t>напряжение, мВ</t>
  </si>
  <si>
    <t>т</t>
  </si>
  <si>
    <t>ду</t>
  </si>
  <si>
    <t>дт</t>
  </si>
  <si>
    <t>мю</t>
  </si>
  <si>
    <t>ду/дт, мкв/К</t>
  </si>
  <si>
    <t>др</t>
  </si>
  <si>
    <t>дельта Т</t>
  </si>
  <si>
    <t>mu</t>
  </si>
  <si>
    <t>а</t>
  </si>
  <si>
    <t>1/Т</t>
  </si>
  <si>
    <t>б1</t>
  </si>
  <si>
    <t>б2</t>
  </si>
  <si>
    <t>t1</t>
  </si>
  <si>
    <t>t2</t>
  </si>
  <si>
    <t>a</t>
  </si>
  <si>
    <t>b</t>
  </si>
  <si>
    <t>т инв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</si>
</sst>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2" fontId="0" fillId="0" borderId="0" xfId="0" applyNumberFormat="1"/>
    <xf numFmtId="165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19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Лист1!$B$2:$B$7</c:f>
              <c:numCache>
                <c:formatCode>General</c:formatCode>
                <c:ptCount val="6"/>
                <c:pt idx="0">
                  <c:v>4.0999999999999996</c:v>
                </c:pt>
                <c:pt idx="1">
                  <c:v>3.6</c:v>
                </c:pt>
                <c:pt idx="2">
                  <c:v>3.1</c:v>
                </c:pt>
                <c:pt idx="3">
                  <c:v>2.6</c:v>
                </c:pt>
                <c:pt idx="4">
                  <c:v>2.1</c:v>
                </c:pt>
                <c:pt idx="5">
                  <c:v>1.4</c:v>
                </c:pt>
              </c:numCache>
            </c:numRef>
          </c:xVal>
          <c:yVal>
            <c:numRef>
              <c:f>Лист1!$C$2:$C$7</c:f>
              <c:numCache>
                <c:formatCode>General</c:formatCode>
                <c:ptCount val="6"/>
                <c:pt idx="0">
                  <c:v>0.13100000000000001</c:v>
                </c:pt>
                <c:pt idx="1">
                  <c:v>0.11</c:v>
                </c:pt>
                <c:pt idx="2">
                  <c:v>9.4E-2</c:v>
                </c:pt>
                <c:pt idx="3">
                  <c:v>7.3999999999999996E-2</c:v>
                </c:pt>
                <c:pt idx="4">
                  <c:v>5.5E-2</c:v>
                </c:pt>
                <c:pt idx="5">
                  <c:v>3.2000000000000001E-2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67F-424F-9E57-F5F4B8ADFD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81826448"/>
        <c:axId val="981825008"/>
      </c:scatterChart>
      <c:valAx>
        <c:axId val="9818264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81825008"/>
        <c:crosses val="autoZero"/>
        <c:crossBetween val="midCat"/>
      </c:valAx>
      <c:valAx>
        <c:axId val="981825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818264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30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Лист1!$B$8:$B$13</c:f>
              <c:numCache>
                <c:formatCode>General</c:formatCode>
                <c:ptCount val="6"/>
                <c:pt idx="0">
                  <c:v>4.0999999999999996</c:v>
                </c:pt>
                <c:pt idx="1">
                  <c:v>3.6</c:v>
                </c:pt>
                <c:pt idx="2">
                  <c:v>3</c:v>
                </c:pt>
                <c:pt idx="3">
                  <c:v>2.5</c:v>
                </c:pt>
                <c:pt idx="4">
                  <c:v>1.9</c:v>
                </c:pt>
                <c:pt idx="5">
                  <c:v>1.5</c:v>
                </c:pt>
              </c:numCache>
            </c:numRef>
          </c:xVal>
          <c:yVal>
            <c:numRef>
              <c:f>Лист1!$C$8:$C$13</c:f>
              <c:numCache>
                <c:formatCode>General</c:formatCode>
                <c:ptCount val="6"/>
                <c:pt idx="0">
                  <c:v>0.13</c:v>
                </c:pt>
                <c:pt idx="1">
                  <c:v>0.108</c:v>
                </c:pt>
                <c:pt idx="2">
                  <c:v>8.6999999999999994E-2</c:v>
                </c:pt>
                <c:pt idx="3">
                  <c:v>7.0999999999999994E-2</c:v>
                </c:pt>
                <c:pt idx="4">
                  <c:v>5.2999999999999999E-2</c:v>
                </c:pt>
                <c:pt idx="5">
                  <c:v>0.04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FC0-47C8-A437-60F9596728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57501904"/>
        <c:axId val="1557499024"/>
      </c:scatterChart>
      <c:valAx>
        <c:axId val="15575019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57499024"/>
        <c:crosses val="autoZero"/>
        <c:crossBetween val="midCat"/>
      </c:valAx>
      <c:valAx>
        <c:axId val="1557499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575019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40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Лист1!$B$14:$B$19</c:f>
              <c:numCache>
                <c:formatCode>General</c:formatCode>
                <c:ptCount val="6"/>
                <c:pt idx="0">
                  <c:v>4.0999999999999996</c:v>
                </c:pt>
                <c:pt idx="1">
                  <c:v>3.5</c:v>
                </c:pt>
                <c:pt idx="2">
                  <c:v>3.05</c:v>
                </c:pt>
                <c:pt idx="3">
                  <c:v>2.5</c:v>
                </c:pt>
                <c:pt idx="4">
                  <c:v>1.9</c:v>
                </c:pt>
                <c:pt idx="5">
                  <c:v>1.6</c:v>
                </c:pt>
              </c:numCache>
            </c:numRef>
          </c:xVal>
          <c:yVal>
            <c:numRef>
              <c:f>Лист1!$C$14:$C$19</c:f>
              <c:numCache>
                <c:formatCode>General</c:formatCode>
                <c:ptCount val="6"/>
                <c:pt idx="0">
                  <c:v>0.126</c:v>
                </c:pt>
                <c:pt idx="1">
                  <c:v>0.104</c:v>
                </c:pt>
                <c:pt idx="2">
                  <c:v>8.5999999999999993E-2</c:v>
                </c:pt>
                <c:pt idx="3">
                  <c:v>7.0000000000000007E-2</c:v>
                </c:pt>
                <c:pt idx="4">
                  <c:v>5.2999999999999999E-2</c:v>
                </c:pt>
                <c:pt idx="5">
                  <c:v>4.3999999999999997E-2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8D9-423E-A70D-93E803E891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63553664"/>
        <c:axId val="1563550784"/>
      </c:scatterChart>
      <c:valAx>
        <c:axId val="15635536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63550784"/>
        <c:crosses val="autoZero"/>
        <c:crossBetween val="midCat"/>
      </c:valAx>
      <c:valAx>
        <c:axId val="1563550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635536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50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Лист1!$B$20:$B$25</c:f>
              <c:numCache>
                <c:formatCode>General</c:formatCode>
                <c:ptCount val="6"/>
                <c:pt idx="0">
                  <c:v>4.7</c:v>
                </c:pt>
                <c:pt idx="1">
                  <c:v>4.1500000000000004</c:v>
                </c:pt>
                <c:pt idx="2">
                  <c:v>3.55</c:v>
                </c:pt>
                <c:pt idx="3">
                  <c:v>3.15</c:v>
                </c:pt>
                <c:pt idx="4">
                  <c:v>2.4500000000000002</c:v>
                </c:pt>
                <c:pt idx="5">
                  <c:v>1.85</c:v>
                </c:pt>
              </c:numCache>
            </c:numRef>
          </c:xVal>
          <c:yVal>
            <c:numRef>
              <c:f>Лист1!$C$20:$C$25</c:f>
              <c:numCache>
                <c:formatCode>General</c:formatCode>
                <c:ptCount val="6"/>
                <c:pt idx="0">
                  <c:v>0.13400000000000001</c:v>
                </c:pt>
                <c:pt idx="1">
                  <c:v>0.11600000000000001</c:v>
                </c:pt>
                <c:pt idx="2">
                  <c:v>9.6000000000000002E-2</c:v>
                </c:pt>
                <c:pt idx="3">
                  <c:v>8.4000000000000005E-2</c:v>
                </c:pt>
                <c:pt idx="4">
                  <c:v>6.5000000000000002E-2</c:v>
                </c:pt>
                <c:pt idx="5">
                  <c:v>4.8000000000000001E-2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045-48ED-A139-B94FFCDDF4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6209968"/>
        <c:axId val="1206209488"/>
      </c:scatterChart>
      <c:valAx>
        <c:axId val="12062099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206209488"/>
        <c:crosses val="autoZero"/>
        <c:crossBetween val="midCat"/>
      </c:valAx>
      <c:valAx>
        <c:axId val="1206209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2062099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Латех!$G$3:$G$6</c:f>
              <c:numCache>
                <c:formatCode>General</c:formatCode>
                <c:ptCount val="4"/>
                <c:pt idx="0">
                  <c:v>3.4246575342465752E-3</c:v>
                </c:pt>
                <c:pt idx="1">
                  <c:v>3.3003300330033004E-3</c:v>
                </c:pt>
                <c:pt idx="2">
                  <c:v>3.1948881789137379E-3</c:v>
                </c:pt>
                <c:pt idx="3">
                  <c:v>3.0959752321981426E-3</c:v>
                </c:pt>
              </c:numCache>
            </c:numRef>
          </c:xVal>
          <c:yVal>
            <c:numRef>
              <c:f>Латех!$H$3:$H$6</c:f>
              <c:numCache>
                <c:formatCode>General</c:formatCode>
                <c:ptCount val="4"/>
                <c:pt idx="0">
                  <c:v>0.92200000000000004</c:v>
                </c:pt>
                <c:pt idx="1">
                  <c:v>0.83399999999999996</c:v>
                </c:pt>
                <c:pt idx="2">
                  <c:v>0.78200000000000003</c:v>
                </c:pt>
                <c:pt idx="3">
                  <c:v>0.70899999999999996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846-4A55-98CA-8E0A0A30A3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79242976"/>
        <c:axId val="1579243936"/>
      </c:scatterChart>
      <c:valAx>
        <c:axId val="15792429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79243936"/>
        <c:crosses val="autoZero"/>
        <c:crossBetween val="midCat"/>
      </c:valAx>
      <c:valAx>
        <c:axId val="1579243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792429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129540</xdr:colOff>
      <xdr:row>0</xdr:row>
      <xdr:rowOff>156210</xdr:rowOff>
    </xdr:from>
    <xdr:to>
      <xdr:col>12</xdr:col>
      <xdr:colOff>434340</xdr:colOff>
      <xdr:row>15</xdr:row>
      <xdr:rowOff>156210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F449E6CA-3574-866A-DECE-103F683DEB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152400</xdr:colOff>
      <xdr:row>0</xdr:row>
      <xdr:rowOff>163830</xdr:rowOff>
    </xdr:from>
    <xdr:to>
      <xdr:col>21</xdr:col>
      <xdr:colOff>457200</xdr:colOff>
      <xdr:row>15</xdr:row>
      <xdr:rowOff>163830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9E04CCA5-73C7-5E45-04BC-B63B38653A9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144780</xdr:colOff>
      <xdr:row>16</xdr:row>
      <xdr:rowOff>110490</xdr:rowOff>
    </xdr:from>
    <xdr:to>
      <xdr:col>12</xdr:col>
      <xdr:colOff>449580</xdr:colOff>
      <xdr:row>31</xdr:row>
      <xdr:rowOff>110490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0BE8BB98-8A52-0759-04AA-56FE733BA7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152400</xdr:colOff>
      <xdr:row>16</xdr:row>
      <xdr:rowOff>102870</xdr:rowOff>
    </xdr:from>
    <xdr:to>
      <xdr:col>21</xdr:col>
      <xdr:colOff>457200</xdr:colOff>
      <xdr:row>31</xdr:row>
      <xdr:rowOff>102870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A30BE593-A235-A98C-0E36-3C794A5B150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281940</xdr:colOff>
      <xdr:row>0</xdr:row>
      <xdr:rowOff>87630</xdr:rowOff>
    </xdr:from>
    <xdr:to>
      <xdr:col>22</xdr:col>
      <xdr:colOff>586740</xdr:colOff>
      <xdr:row>15</xdr:row>
      <xdr:rowOff>87630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48C49012-7C4C-E5AC-AACF-66B428116A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AF050E-5F3F-40F1-8C16-7540DD90969D}">
  <dimension ref="A1:D79"/>
  <sheetViews>
    <sheetView topLeftCell="A10" workbookViewId="0">
      <selection activeCell="A31" sqref="A31:A79"/>
    </sheetView>
  </sheetViews>
  <sheetFormatPr defaultRowHeight="14.4" x14ac:dyDescent="0.3"/>
  <sheetData>
    <row r="1" spans="1:4" x14ac:dyDescent="0.3">
      <c r="A1" t="s">
        <v>1</v>
      </c>
      <c r="B1" t="s">
        <v>0</v>
      </c>
      <c r="C1" t="s">
        <v>2</v>
      </c>
      <c r="D1" t="s">
        <v>9</v>
      </c>
    </row>
    <row r="2" spans="1:4" x14ac:dyDescent="0.3">
      <c r="A2">
        <v>19.04</v>
      </c>
      <c r="B2">
        <v>4.0999999999999996</v>
      </c>
      <c r="C2">
        <v>0.13100000000000001</v>
      </c>
      <c r="D2">
        <f>C2/39.8*1000</f>
        <v>3.2914572864321614</v>
      </c>
    </row>
    <row r="3" spans="1:4" x14ac:dyDescent="0.3">
      <c r="A3">
        <v>19.059999999999999</v>
      </c>
      <c r="B3">
        <v>3.6</v>
      </c>
      <c r="C3">
        <v>0.11</v>
      </c>
      <c r="D3">
        <f t="shared" ref="D3:D7" si="0">C3/39.8*1000</f>
        <v>2.7638190954773871</v>
      </c>
    </row>
    <row r="4" spans="1:4" x14ac:dyDescent="0.3">
      <c r="A4">
        <v>19.09</v>
      </c>
      <c r="B4">
        <v>3.1</v>
      </c>
      <c r="C4">
        <v>9.4E-2</v>
      </c>
      <c r="D4">
        <f t="shared" si="0"/>
        <v>2.3618090452261309</v>
      </c>
    </row>
    <row r="5" spans="1:4" x14ac:dyDescent="0.3">
      <c r="A5">
        <v>19.11</v>
      </c>
      <c r="B5">
        <v>2.6</v>
      </c>
      <c r="C5">
        <v>7.3999999999999996E-2</v>
      </c>
      <c r="D5">
        <f t="shared" si="0"/>
        <v>1.8592964824120604</v>
      </c>
    </row>
    <row r="6" spans="1:4" x14ac:dyDescent="0.3">
      <c r="A6">
        <v>19.149999999999999</v>
      </c>
      <c r="B6">
        <v>2.1</v>
      </c>
      <c r="C6">
        <v>5.5E-2</v>
      </c>
      <c r="D6">
        <f t="shared" si="0"/>
        <v>1.3819095477386936</v>
      </c>
    </row>
    <row r="7" spans="1:4" x14ac:dyDescent="0.3">
      <c r="A7">
        <v>19.170000000000002</v>
      </c>
      <c r="B7">
        <v>1.4</v>
      </c>
      <c r="C7">
        <v>3.2000000000000001E-2</v>
      </c>
      <c r="D7">
        <f t="shared" si="0"/>
        <v>0.80402010050251271</v>
      </c>
    </row>
    <row r="8" spans="1:4" x14ac:dyDescent="0.3">
      <c r="A8">
        <v>30.04</v>
      </c>
      <c r="B8">
        <v>4.0999999999999996</v>
      </c>
      <c r="C8">
        <v>0.13</v>
      </c>
      <c r="D8">
        <f>C8/40.7*1000</f>
        <v>3.1941031941031937</v>
      </c>
    </row>
    <row r="9" spans="1:4" x14ac:dyDescent="0.3">
      <c r="A9">
        <v>30.07</v>
      </c>
      <c r="B9">
        <v>3.6</v>
      </c>
      <c r="C9">
        <v>0.108</v>
      </c>
      <c r="D9">
        <f t="shared" ref="D9:D13" si="1">C9/40.7*1000</f>
        <v>2.6535626535626533</v>
      </c>
    </row>
    <row r="10" spans="1:4" x14ac:dyDescent="0.3">
      <c r="A10">
        <v>30.06</v>
      </c>
      <c r="B10">
        <v>3</v>
      </c>
      <c r="C10">
        <v>8.6999999999999994E-2</v>
      </c>
      <c r="D10">
        <f t="shared" si="1"/>
        <v>2.137592137592137</v>
      </c>
    </row>
    <row r="11" spans="1:4" x14ac:dyDescent="0.3">
      <c r="A11">
        <v>30.05</v>
      </c>
      <c r="B11">
        <v>2.5</v>
      </c>
      <c r="C11">
        <v>7.0999999999999994E-2</v>
      </c>
      <c r="D11">
        <f t="shared" si="1"/>
        <v>1.7444717444717444</v>
      </c>
    </row>
    <row r="12" spans="1:4" x14ac:dyDescent="0.3">
      <c r="A12">
        <v>30.02</v>
      </c>
      <c r="B12">
        <v>1.9</v>
      </c>
      <c r="C12">
        <v>5.2999999999999999E-2</v>
      </c>
      <c r="D12">
        <f t="shared" si="1"/>
        <v>1.3022113022113022</v>
      </c>
    </row>
    <row r="13" spans="1:4" x14ac:dyDescent="0.3">
      <c r="A13">
        <v>30.01</v>
      </c>
      <c r="B13">
        <v>1.5</v>
      </c>
      <c r="C13">
        <v>0.04</v>
      </c>
      <c r="D13">
        <f t="shared" si="1"/>
        <v>0.98280098280098283</v>
      </c>
    </row>
    <row r="14" spans="1:4" x14ac:dyDescent="0.3">
      <c r="A14">
        <v>40.01</v>
      </c>
      <c r="B14">
        <v>4.0999999999999996</v>
      </c>
      <c r="C14">
        <v>0.126</v>
      </c>
      <c r="D14">
        <f>C14/41.5*1000</f>
        <v>3.036144578313253</v>
      </c>
    </row>
    <row r="15" spans="1:4" x14ac:dyDescent="0.3">
      <c r="A15">
        <v>40.06</v>
      </c>
      <c r="B15">
        <v>3.5</v>
      </c>
      <c r="C15">
        <v>0.104</v>
      </c>
      <c r="D15">
        <f t="shared" ref="D15:D19" si="2">C15/41.5*1000</f>
        <v>2.5060240963855422</v>
      </c>
    </row>
    <row r="16" spans="1:4" x14ac:dyDescent="0.3">
      <c r="A16">
        <v>40.049999999999997</v>
      </c>
      <c r="B16">
        <v>3.05</v>
      </c>
      <c r="C16">
        <v>8.5999999999999993E-2</v>
      </c>
      <c r="D16">
        <f t="shared" si="2"/>
        <v>2.0722891566265056</v>
      </c>
    </row>
    <row r="17" spans="1:4" x14ac:dyDescent="0.3">
      <c r="A17">
        <v>40.04</v>
      </c>
      <c r="B17">
        <v>2.5</v>
      </c>
      <c r="C17">
        <v>7.0000000000000007E-2</v>
      </c>
      <c r="D17">
        <f t="shared" si="2"/>
        <v>1.6867469879518073</v>
      </c>
    </row>
    <row r="18" spans="1:4" x14ac:dyDescent="0.3">
      <c r="A18">
        <v>40.020000000000003</v>
      </c>
      <c r="B18">
        <v>1.9</v>
      </c>
      <c r="C18">
        <v>5.2999999999999999E-2</v>
      </c>
      <c r="D18">
        <f t="shared" si="2"/>
        <v>1.2771084337349399</v>
      </c>
    </row>
    <row r="19" spans="1:4" x14ac:dyDescent="0.3">
      <c r="A19">
        <v>40</v>
      </c>
      <c r="B19">
        <v>1.6</v>
      </c>
      <c r="C19">
        <v>4.3999999999999997E-2</v>
      </c>
      <c r="D19">
        <f t="shared" si="2"/>
        <v>1.0602409638554215</v>
      </c>
    </row>
    <row r="20" spans="1:4" x14ac:dyDescent="0.3">
      <c r="A20">
        <v>50.01</v>
      </c>
      <c r="B20">
        <v>4.7</v>
      </c>
      <c r="C20">
        <v>0.13400000000000001</v>
      </c>
      <c r="D20">
        <f>C20/42.4*1000</f>
        <v>3.1603773584905666</v>
      </c>
    </row>
    <row r="21" spans="1:4" x14ac:dyDescent="0.3">
      <c r="A21">
        <v>50.02</v>
      </c>
      <c r="B21">
        <v>4.1500000000000004</v>
      </c>
      <c r="C21">
        <v>0.11600000000000001</v>
      </c>
      <c r="D21">
        <f t="shared" ref="D21:D25" si="3">C21/42.4*1000</f>
        <v>2.7358490566037741</v>
      </c>
    </row>
    <row r="22" spans="1:4" x14ac:dyDescent="0.3">
      <c r="A22">
        <v>50.03</v>
      </c>
      <c r="B22">
        <v>3.55</v>
      </c>
      <c r="C22">
        <v>9.6000000000000002E-2</v>
      </c>
      <c r="D22">
        <f t="shared" si="3"/>
        <v>2.2641509433962264</v>
      </c>
    </row>
    <row r="23" spans="1:4" x14ac:dyDescent="0.3">
      <c r="A23">
        <v>50.01</v>
      </c>
      <c r="B23">
        <v>3.15</v>
      </c>
      <c r="C23">
        <v>8.4000000000000005E-2</v>
      </c>
      <c r="D23">
        <f t="shared" si="3"/>
        <v>1.9811320754716983</v>
      </c>
    </row>
    <row r="24" spans="1:4" x14ac:dyDescent="0.3">
      <c r="A24">
        <v>50</v>
      </c>
      <c r="B24">
        <v>2.4500000000000002</v>
      </c>
      <c r="C24">
        <v>6.5000000000000002E-2</v>
      </c>
      <c r="D24">
        <f t="shared" si="3"/>
        <v>1.5330188679245285</v>
      </c>
    </row>
    <row r="25" spans="1:4" x14ac:dyDescent="0.3">
      <c r="A25">
        <v>50.01</v>
      </c>
      <c r="B25">
        <v>1.85</v>
      </c>
      <c r="C25">
        <v>4.8000000000000001E-2</v>
      </c>
      <c r="D25">
        <f t="shared" si="3"/>
        <v>1.1320754716981132</v>
      </c>
    </row>
    <row r="31" spans="1:4" x14ac:dyDescent="0.3">
      <c r="A31">
        <v>6</v>
      </c>
    </row>
    <row r="32" spans="1:4" x14ac:dyDescent="0.3">
      <c r="A32">
        <v>4.0999999999999996</v>
      </c>
    </row>
    <row r="33" spans="1:1" x14ac:dyDescent="0.3">
      <c r="A33">
        <v>3.6</v>
      </c>
    </row>
    <row r="34" spans="1:1" x14ac:dyDescent="0.3">
      <c r="A34">
        <v>3.1</v>
      </c>
    </row>
    <row r="35" spans="1:1" x14ac:dyDescent="0.3">
      <c r="A35">
        <v>2.6</v>
      </c>
    </row>
    <row r="36" spans="1:1" x14ac:dyDescent="0.3">
      <c r="A36">
        <v>2.1</v>
      </c>
    </row>
    <row r="37" spans="1:1" x14ac:dyDescent="0.3">
      <c r="A37">
        <v>1.4</v>
      </c>
    </row>
    <row r="38" spans="1:1" x14ac:dyDescent="0.3">
      <c r="A38">
        <v>3.291457286</v>
      </c>
    </row>
    <row r="39" spans="1:1" x14ac:dyDescent="0.3">
      <c r="A39">
        <v>2.7638190950000001</v>
      </c>
    </row>
    <row r="40" spans="1:1" x14ac:dyDescent="0.3">
      <c r="A40">
        <v>2.3618090450000002</v>
      </c>
    </row>
    <row r="41" spans="1:1" x14ac:dyDescent="0.3">
      <c r="A41">
        <v>1.859296482</v>
      </c>
    </row>
    <row r="42" spans="1:1" x14ac:dyDescent="0.3">
      <c r="A42">
        <v>1.3819095480000001</v>
      </c>
    </row>
    <row r="43" spans="1:1" x14ac:dyDescent="0.3">
      <c r="A43">
        <v>0.80402010099999999</v>
      </c>
    </row>
    <row r="44" spans="1:1" x14ac:dyDescent="0.3">
      <c r="A44">
        <v>4.0999999999999996</v>
      </c>
    </row>
    <row r="45" spans="1:1" x14ac:dyDescent="0.3">
      <c r="A45">
        <v>3.6</v>
      </c>
    </row>
    <row r="46" spans="1:1" x14ac:dyDescent="0.3">
      <c r="A46">
        <v>3</v>
      </c>
    </row>
    <row r="47" spans="1:1" x14ac:dyDescent="0.3">
      <c r="A47">
        <v>2.5</v>
      </c>
    </row>
    <row r="48" spans="1:1" x14ac:dyDescent="0.3">
      <c r="A48">
        <v>1.9</v>
      </c>
    </row>
    <row r="49" spans="1:1" x14ac:dyDescent="0.3">
      <c r="A49">
        <v>1.5</v>
      </c>
    </row>
    <row r="50" spans="1:1" x14ac:dyDescent="0.3">
      <c r="A50">
        <v>3.1941031940000002</v>
      </c>
    </row>
    <row r="51" spans="1:1" x14ac:dyDescent="0.3">
      <c r="A51">
        <v>2.6535626539999999</v>
      </c>
    </row>
    <row r="52" spans="1:1" x14ac:dyDescent="0.3">
      <c r="A52">
        <v>2.137592138</v>
      </c>
    </row>
    <row r="53" spans="1:1" x14ac:dyDescent="0.3">
      <c r="A53">
        <v>1.7444717439999999</v>
      </c>
    </row>
    <row r="54" spans="1:1" x14ac:dyDescent="0.3">
      <c r="A54">
        <v>1.3022113019999999</v>
      </c>
    </row>
    <row r="55" spans="1:1" x14ac:dyDescent="0.3">
      <c r="A55">
        <v>0.98280098299999996</v>
      </c>
    </row>
    <row r="56" spans="1:1" x14ac:dyDescent="0.3">
      <c r="A56">
        <v>4.0999999999999996</v>
      </c>
    </row>
    <row r="57" spans="1:1" x14ac:dyDescent="0.3">
      <c r="A57">
        <v>3.5</v>
      </c>
    </row>
    <row r="58" spans="1:1" x14ac:dyDescent="0.3">
      <c r="A58">
        <v>3.05</v>
      </c>
    </row>
    <row r="59" spans="1:1" x14ac:dyDescent="0.3">
      <c r="A59">
        <v>2.5</v>
      </c>
    </row>
    <row r="60" spans="1:1" x14ac:dyDescent="0.3">
      <c r="A60">
        <v>1.9</v>
      </c>
    </row>
    <row r="61" spans="1:1" x14ac:dyDescent="0.3">
      <c r="A61">
        <v>1.6</v>
      </c>
    </row>
    <row r="62" spans="1:1" x14ac:dyDescent="0.3">
      <c r="A62">
        <v>3.036144578</v>
      </c>
    </row>
    <row r="63" spans="1:1" x14ac:dyDescent="0.3">
      <c r="A63">
        <v>2.506024096</v>
      </c>
    </row>
    <row r="64" spans="1:1" x14ac:dyDescent="0.3">
      <c r="A64">
        <v>2.0722891570000002</v>
      </c>
    </row>
    <row r="65" spans="1:1" x14ac:dyDescent="0.3">
      <c r="A65">
        <v>1.6867469879999999</v>
      </c>
    </row>
    <row r="66" spans="1:1" x14ac:dyDescent="0.3">
      <c r="A66">
        <v>1.2771084340000001</v>
      </c>
    </row>
    <row r="67" spans="1:1" x14ac:dyDescent="0.3">
      <c r="A67">
        <v>1.0602409639999999</v>
      </c>
    </row>
    <row r="68" spans="1:1" x14ac:dyDescent="0.3">
      <c r="A68">
        <v>4.7</v>
      </c>
    </row>
    <row r="69" spans="1:1" x14ac:dyDescent="0.3">
      <c r="A69">
        <v>4.1500000000000004</v>
      </c>
    </row>
    <row r="70" spans="1:1" x14ac:dyDescent="0.3">
      <c r="A70">
        <v>3.55</v>
      </c>
    </row>
    <row r="71" spans="1:1" x14ac:dyDescent="0.3">
      <c r="A71">
        <v>3.15</v>
      </c>
    </row>
    <row r="72" spans="1:1" x14ac:dyDescent="0.3">
      <c r="A72">
        <v>2.4500000000000002</v>
      </c>
    </row>
    <row r="73" spans="1:1" x14ac:dyDescent="0.3">
      <c r="A73">
        <v>1.85</v>
      </c>
    </row>
    <row r="74" spans="1:1" x14ac:dyDescent="0.3">
      <c r="A74">
        <v>3.1603773579999999</v>
      </c>
    </row>
    <row r="75" spans="1:1" x14ac:dyDescent="0.3">
      <c r="A75">
        <v>2.7358490569999998</v>
      </c>
    </row>
    <row r="76" spans="1:1" x14ac:dyDescent="0.3">
      <c r="A76">
        <v>2.2641509430000002</v>
      </c>
    </row>
    <row r="77" spans="1:1" x14ac:dyDescent="0.3">
      <c r="A77">
        <v>1.9811320750000001</v>
      </c>
    </row>
    <row r="78" spans="1:1" x14ac:dyDescent="0.3">
      <c r="A78">
        <v>1.5330188680000001</v>
      </c>
    </row>
    <row r="79" spans="1:1" x14ac:dyDescent="0.3">
      <c r="A79">
        <v>1.1320754719999999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2506A9-556C-4273-A570-EF797CF70F11}">
  <dimension ref="A1:K35"/>
  <sheetViews>
    <sheetView tabSelected="1" topLeftCell="A4" workbookViewId="0">
      <selection activeCell="G21" sqref="G21:K27"/>
    </sheetView>
  </sheetViews>
  <sheetFormatPr defaultRowHeight="14.4" x14ac:dyDescent="0.3"/>
  <sheetData>
    <row r="1" spans="1:10" x14ac:dyDescent="0.3">
      <c r="C1">
        <v>19</v>
      </c>
    </row>
    <row r="2" spans="1:10" x14ac:dyDescent="0.3">
      <c r="B2" t="s">
        <v>8</v>
      </c>
      <c r="C2" t="s">
        <v>4</v>
      </c>
      <c r="D2" t="s">
        <v>5</v>
      </c>
      <c r="G2" t="s">
        <v>12</v>
      </c>
      <c r="H2" t="s">
        <v>10</v>
      </c>
    </row>
    <row r="3" spans="1:10" x14ac:dyDescent="0.3">
      <c r="A3" t="s">
        <v>3</v>
      </c>
      <c r="B3">
        <v>4.0999999999999996</v>
      </c>
      <c r="C3">
        <v>0.13100000000000001</v>
      </c>
      <c r="D3" s="1">
        <f>C3/39.8*1000</f>
        <v>3.2914572864321614</v>
      </c>
      <c r="F3">
        <v>19</v>
      </c>
      <c r="G3">
        <f>1/(F3+273)</f>
        <v>3.4246575342465752E-3</v>
      </c>
      <c r="H3">
        <f>A8</f>
        <v>0.92200000000000004</v>
      </c>
    </row>
    <row r="4" spans="1:10" x14ac:dyDescent="0.3">
      <c r="A4">
        <v>19</v>
      </c>
      <c r="B4">
        <v>3.6</v>
      </c>
      <c r="C4">
        <v>0.11</v>
      </c>
      <c r="D4" s="1">
        <f t="shared" ref="D4:D8" si="0">C4/39.8*1000</f>
        <v>2.7638190954773871</v>
      </c>
      <c r="F4">
        <v>30</v>
      </c>
      <c r="G4">
        <f t="shared" ref="G4:G6" si="1">1/(F4+273)</f>
        <v>3.3003300330033004E-3</v>
      </c>
      <c r="H4">
        <v>0.83399999999999996</v>
      </c>
    </row>
    <row r="5" spans="1:10" x14ac:dyDescent="0.3">
      <c r="A5" t="s">
        <v>7</v>
      </c>
      <c r="B5">
        <v>3.1</v>
      </c>
      <c r="C5">
        <v>9.4E-2</v>
      </c>
      <c r="D5" s="1">
        <f t="shared" si="0"/>
        <v>2.3618090452261309</v>
      </c>
      <c r="F5">
        <v>40</v>
      </c>
      <c r="G5">
        <f t="shared" si="1"/>
        <v>3.1948881789137379E-3</v>
      </c>
      <c r="H5">
        <v>0.78200000000000003</v>
      </c>
    </row>
    <row r="6" spans="1:10" x14ac:dyDescent="0.3">
      <c r="A6">
        <v>39.799999999999997</v>
      </c>
      <c r="B6">
        <v>2.6</v>
      </c>
      <c r="C6">
        <v>7.3999999999999996E-2</v>
      </c>
      <c r="D6" s="1">
        <f t="shared" si="0"/>
        <v>1.8592964824120604</v>
      </c>
      <c r="F6">
        <v>50</v>
      </c>
      <c r="G6">
        <f t="shared" si="1"/>
        <v>3.0959752321981426E-3</v>
      </c>
      <c r="H6">
        <v>0.70899999999999996</v>
      </c>
    </row>
    <row r="7" spans="1:10" x14ac:dyDescent="0.3">
      <c r="A7" t="s">
        <v>6</v>
      </c>
      <c r="B7">
        <v>2.1</v>
      </c>
      <c r="C7">
        <v>5.5E-2</v>
      </c>
      <c r="D7" s="1">
        <f t="shared" si="0"/>
        <v>1.3819095477386936</v>
      </c>
    </row>
    <row r="8" spans="1:10" x14ac:dyDescent="0.3">
      <c r="A8">
        <v>0.92200000000000004</v>
      </c>
      <c r="B8">
        <v>1.4</v>
      </c>
      <c r="C8">
        <v>3.2000000000000001E-2</v>
      </c>
      <c r="D8" s="1">
        <f t="shared" si="0"/>
        <v>0.80402010050251271</v>
      </c>
    </row>
    <row r="10" spans="1:10" x14ac:dyDescent="0.3">
      <c r="C10">
        <v>30</v>
      </c>
      <c r="G10" t="s">
        <v>11</v>
      </c>
      <c r="H10" t="s">
        <v>13</v>
      </c>
      <c r="I10" t="s">
        <v>14</v>
      </c>
    </row>
    <row r="11" spans="1:10" x14ac:dyDescent="0.3">
      <c r="B11" t="s">
        <v>8</v>
      </c>
      <c r="C11" t="s">
        <v>4</v>
      </c>
      <c r="D11" t="s">
        <v>5</v>
      </c>
      <c r="F11">
        <v>12</v>
      </c>
      <c r="G11">
        <f>37.1*8.31/2*(H3-H4)/(G3-G4)/100000</f>
        <v>1.0910895710400033</v>
      </c>
      <c r="H11">
        <f>2*G11/8.31*G3-H3*37.1/100000</f>
        <v>5.572420000000025E-4</v>
      </c>
      <c r="I11">
        <f>37.1*(H3/G3-H4/G4)/(1/G4-1/G3)/100000</f>
        <v>5.5724200000000163E-4</v>
      </c>
      <c r="J11">
        <f>I11*10000</f>
        <v>5.5724200000000161</v>
      </c>
    </row>
    <row r="12" spans="1:10" x14ac:dyDescent="0.3">
      <c r="A12" t="s">
        <v>3</v>
      </c>
      <c r="B12">
        <v>4.0999999999999996</v>
      </c>
      <c r="C12">
        <v>0.13</v>
      </c>
      <c r="D12" s="1">
        <f>C12/40.7*1000</f>
        <v>3.1941031941031937</v>
      </c>
      <c r="F12">
        <v>13</v>
      </c>
      <c r="G12">
        <f>37.1*8.31/2*(H3-H5)/(G3-G5)/100000</f>
        <v>0.93924927320000051</v>
      </c>
      <c r="H12">
        <f>2*G12/8.31*G3-H3*37.1/100000</f>
        <v>4.3209133333333365E-4</v>
      </c>
      <c r="I12">
        <f>37.1*(H5/G5-H3/G3)/(1/G3-1/G5)/100000</f>
        <v>4.3209133333333382E-4</v>
      </c>
      <c r="J12">
        <f t="shared" ref="J12:J16" si="2">I12*10000</f>
        <v>4.3209133333333378</v>
      </c>
    </row>
    <row r="13" spans="1:10" x14ac:dyDescent="0.3">
      <c r="A13">
        <v>30</v>
      </c>
      <c r="B13">
        <v>3.6</v>
      </c>
      <c r="C13">
        <v>0.108</v>
      </c>
      <c r="D13" s="1">
        <f t="shared" ref="D13:D17" si="3">C13/40.7*1000</f>
        <v>2.6535626535626533</v>
      </c>
      <c r="F13">
        <v>14</v>
      </c>
      <c r="G13">
        <f>37.1*8.31/2*(H3-H6)/(G3-G6)/100000</f>
        <v>0.99896028156580807</v>
      </c>
      <c r="H13">
        <f>2*G13/8.31*G3-H3*37.1/100000</f>
        <v>4.8130667741935605E-4</v>
      </c>
      <c r="I13">
        <f>37.1*(H3/G3-H6/G6)/(1/G6-1/G3)/100000</f>
        <v>4.8130667741935577E-4</v>
      </c>
      <c r="J13">
        <f t="shared" si="2"/>
        <v>4.8130667741935573</v>
      </c>
    </row>
    <row r="14" spans="1:10" x14ac:dyDescent="0.3">
      <c r="A14" t="s">
        <v>7</v>
      </c>
      <c r="B14">
        <v>3</v>
      </c>
      <c r="C14">
        <v>8.6999999999999994E-2</v>
      </c>
      <c r="D14" s="1">
        <f t="shared" si="3"/>
        <v>2.137592137592137</v>
      </c>
      <c r="F14">
        <v>23</v>
      </c>
      <c r="G14">
        <f>37.1*8.31/2*(H4-H5)/(G4-G5)/100000</f>
        <v>0.76021292201399804</v>
      </c>
      <c r="H14">
        <f>2*G14/8.31*G4-H4*37.1/100000</f>
        <v>2.9442559999999838E-4</v>
      </c>
      <c r="I14">
        <f>37.1*(H4/G4-H5/G5)/(1/G5-1/G4)/100000</f>
        <v>2.9442559999999924E-4</v>
      </c>
      <c r="J14">
        <f t="shared" si="2"/>
        <v>2.9442559999999922</v>
      </c>
    </row>
    <row r="15" spans="1:10" x14ac:dyDescent="0.3">
      <c r="A15">
        <v>39.799999999999997</v>
      </c>
      <c r="B15">
        <v>2.5</v>
      </c>
      <c r="C15">
        <v>7.0999999999999994E-2</v>
      </c>
      <c r="D15" s="1">
        <f t="shared" si="3"/>
        <v>1.7444717444717444</v>
      </c>
      <c r="F15">
        <v>24</v>
      </c>
      <c r="G15">
        <f>37.1*8.31/2*(H6-H4)/(G6-G4)/100000</f>
        <v>0.94290970528125084</v>
      </c>
      <c r="H15">
        <f>2*G15/8.31*G6-H6*37.1/100000</f>
        <v>4.3954225000000059E-4</v>
      </c>
      <c r="I15">
        <f>37.1*(H4/G4-H6/G6)/(1/G6-1/G4)/100000</f>
        <v>4.3954225000000042E-4</v>
      </c>
      <c r="J15">
        <f t="shared" si="2"/>
        <v>4.395422500000004</v>
      </c>
    </row>
    <row r="16" spans="1:10" x14ac:dyDescent="0.3">
      <c r="A16" t="s">
        <v>6</v>
      </c>
      <c r="B16">
        <v>1.9</v>
      </c>
      <c r="C16">
        <v>5.2999999999999999E-2</v>
      </c>
      <c r="D16" s="1">
        <f t="shared" si="3"/>
        <v>1.3022113022113022</v>
      </c>
      <c r="F16">
        <v>34</v>
      </c>
      <c r="G16">
        <f>37.1*8.31/2*(H5-H6)/(G5-G6)/100000</f>
        <v>1.1376656821635047</v>
      </c>
      <c r="H16">
        <f>2*G16/8.31*G5-37.1*H5/100000</f>
        <v>5.8465890000000361E-4</v>
      </c>
      <c r="I16">
        <f>37.1*(H5/G5-H6/G6)/(1/G6-1/G5)/100000</f>
        <v>5.8465890000000155E-4</v>
      </c>
      <c r="J16">
        <f t="shared" si="2"/>
        <v>5.8465890000000158</v>
      </c>
    </row>
    <row r="17" spans="1:11" x14ac:dyDescent="0.3">
      <c r="A17">
        <v>0.83399999999999996</v>
      </c>
      <c r="B17">
        <v>1.5</v>
      </c>
      <c r="C17">
        <v>0.04</v>
      </c>
      <c r="D17" s="1">
        <f t="shared" si="3"/>
        <v>0.98280098280098283</v>
      </c>
    </row>
    <row r="19" spans="1:11" x14ac:dyDescent="0.3">
      <c r="C19">
        <v>40</v>
      </c>
    </row>
    <row r="20" spans="1:11" x14ac:dyDescent="0.3">
      <c r="B20" t="s">
        <v>8</v>
      </c>
      <c r="C20" t="s">
        <v>4</v>
      </c>
      <c r="D20" t="s">
        <v>5</v>
      </c>
    </row>
    <row r="21" spans="1:11" x14ac:dyDescent="0.3">
      <c r="A21" t="s">
        <v>3</v>
      </c>
      <c r="B21">
        <v>4.0999999999999996</v>
      </c>
      <c r="C21">
        <v>0.126</v>
      </c>
      <c r="D21" s="1">
        <f>C21/41.5*1000</f>
        <v>3.036144578313253</v>
      </c>
      <c r="G21" t="s">
        <v>15</v>
      </c>
      <c r="H21" t="s">
        <v>16</v>
      </c>
      <c r="I21" t="s">
        <v>17</v>
      </c>
      <c r="J21" t="s">
        <v>18</v>
      </c>
      <c r="K21" t="s">
        <v>19</v>
      </c>
    </row>
    <row r="22" spans="1:11" x14ac:dyDescent="0.3">
      <c r="A22">
        <v>40</v>
      </c>
      <c r="B22">
        <v>3.5</v>
      </c>
      <c r="C22">
        <v>0.104</v>
      </c>
      <c r="D22" s="1">
        <f t="shared" ref="D22:D26" si="4">C22/41.5*1000</f>
        <v>2.5060240963855422</v>
      </c>
      <c r="G22">
        <v>19</v>
      </c>
      <c r="H22">
        <v>30</v>
      </c>
      <c r="I22" s="2">
        <f>G11</f>
        <v>1.0910895710400033</v>
      </c>
      <c r="J22" s="2">
        <f>J11</f>
        <v>5.5724200000000161</v>
      </c>
      <c r="K22" s="3">
        <f>2*I22/8.31/I11</f>
        <v>471.24367509986683</v>
      </c>
    </row>
    <row r="23" spans="1:11" x14ac:dyDescent="0.3">
      <c r="A23" t="s">
        <v>7</v>
      </c>
      <c r="B23">
        <v>3.05</v>
      </c>
      <c r="C23">
        <v>8.5999999999999993E-2</v>
      </c>
      <c r="D23" s="1">
        <f t="shared" si="4"/>
        <v>2.0722891566265056</v>
      </c>
      <c r="G23">
        <v>19</v>
      </c>
      <c r="H23">
        <v>40</v>
      </c>
      <c r="I23" s="2">
        <f t="shared" ref="I23:I27" si="5">G12</f>
        <v>0.93924927320000051</v>
      </c>
      <c r="J23" s="2">
        <f t="shared" ref="J23:J27" si="6">J12</f>
        <v>4.3209133333333378</v>
      </c>
      <c r="K23" s="3">
        <f t="shared" ref="K23:K27" si="7">2*I23/8.31/I12</f>
        <v>523.15970234688007</v>
      </c>
    </row>
    <row r="24" spans="1:11" x14ac:dyDescent="0.3">
      <c r="A24">
        <v>41.5</v>
      </c>
      <c r="B24">
        <v>2.5</v>
      </c>
      <c r="C24">
        <v>7.0000000000000007E-2</v>
      </c>
      <c r="D24" s="1">
        <f t="shared" si="4"/>
        <v>1.6867469879518073</v>
      </c>
      <c r="G24">
        <v>19</v>
      </c>
      <c r="H24">
        <v>50</v>
      </c>
      <c r="I24" s="2">
        <f t="shared" si="5"/>
        <v>0.99896028156580807</v>
      </c>
      <c r="J24" s="2">
        <f t="shared" si="6"/>
        <v>4.8130667741935573</v>
      </c>
      <c r="K24" s="3">
        <f t="shared" si="7"/>
        <v>499.52278887037801</v>
      </c>
    </row>
    <row r="25" spans="1:11" x14ac:dyDescent="0.3">
      <c r="A25" t="s">
        <v>6</v>
      </c>
      <c r="B25">
        <v>1.9</v>
      </c>
      <c r="C25">
        <v>5.2999999999999999E-2</v>
      </c>
      <c r="D25" s="1">
        <f t="shared" si="4"/>
        <v>1.2771084337349399</v>
      </c>
      <c r="G25">
        <v>30</v>
      </c>
      <c r="H25">
        <v>40</v>
      </c>
      <c r="I25" s="2">
        <f t="shared" si="5"/>
        <v>0.76021292201399804</v>
      </c>
      <c r="J25" s="2">
        <f t="shared" si="6"/>
        <v>2.9442559999999922</v>
      </c>
      <c r="K25" s="3">
        <f t="shared" si="7"/>
        <v>621.4248991935483</v>
      </c>
    </row>
    <row r="26" spans="1:11" x14ac:dyDescent="0.3">
      <c r="A26">
        <v>0.78200000000000003</v>
      </c>
      <c r="B26">
        <v>1.6</v>
      </c>
      <c r="C26">
        <v>4.3999999999999997E-2</v>
      </c>
      <c r="D26" s="1">
        <f t="shared" si="4"/>
        <v>1.0602409638554215</v>
      </c>
      <c r="G26">
        <v>30</v>
      </c>
      <c r="H26">
        <v>50</v>
      </c>
      <c r="I26" s="2">
        <f t="shared" si="5"/>
        <v>0.94290970528125084</v>
      </c>
      <c r="J26" s="2">
        <f t="shared" si="6"/>
        <v>4.395422500000004</v>
      </c>
      <c r="K26" s="3">
        <f t="shared" si="7"/>
        <v>516.29563198987125</v>
      </c>
    </row>
    <row r="27" spans="1:11" x14ac:dyDescent="0.3">
      <c r="G27">
        <v>40</v>
      </c>
      <c r="H27">
        <v>50</v>
      </c>
      <c r="I27" s="2">
        <f t="shared" si="5"/>
        <v>1.1376656821635047</v>
      </c>
      <c r="J27" s="2">
        <f t="shared" si="6"/>
        <v>5.8465890000000158</v>
      </c>
      <c r="K27" s="3">
        <f t="shared" si="7"/>
        <v>468.31823085221214</v>
      </c>
    </row>
    <row r="28" spans="1:11" x14ac:dyDescent="0.3">
      <c r="C28">
        <v>50</v>
      </c>
    </row>
    <row r="29" spans="1:11" x14ac:dyDescent="0.3">
      <c r="B29" t="s">
        <v>8</v>
      </c>
      <c r="C29" t="s">
        <v>4</v>
      </c>
      <c r="D29" t="s">
        <v>5</v>
      </c>
    </row>
    <row r="30" spans="1:11" x14ac:dyDescent="0.3">
      <c r="A30" t="s">
        <v>3</v>
      </c>
      <c r="B30">
        <v>4.7</v>
      </c>
      <c r="C30">
        <v>0.13400000000000001</v>
      </c>
      <c r="D30" s="1">
        <f>C30/42.4*1000</f>
        <v>3.1603773584905666</v>
      </c>
    </row>
    <row r="31" spans="1:11" x14ac:dyDescent="0.3">
      <c r="A31">
        <v>50</v>
      </c>
      <c r="B31">
        <v>4.1500000000000004</v>
      </c>
      <c r="C31">
        <v>0.11600000000000001</v>
      </c>
      <c r="D31" s="1">
        <f t="shared" ref="D31:D35" si="8">C31/42.4*1000</f>
        <v>2.7358490566037741</v>
      </c>
    </row>
    <row r="32" spans="1:11" x14ac:dyDescent="0.3">
      <c r="A32" t="s">
        <v>7</v>
      </c>
      <c r="B32">
        <v>3.55</v>
      </c>
      <c r="C32">
        <v>9.6000000000000002E-2</v>
      </c>
      <c r="D32" s="1">
        <f t="shared" si="8"/>
        <v>2.2641509433962264</v>
      </c>
    </row>
    <row r="33" spans="1:4" x14ac:dyDescent="0.3">
      <c r="A33">
        <v>42.4</v>
      </c>
      <c r="B33">
        <v>3.15</v>
      </c>
      <c r="C33">
        <v>8.4000000000000005E-2</v>
      </c>
      <c r="D33" s="1">
        <f t="shared" si="8"/>
        <v>1.9811320754716983</v>
      </c>
    </row>
    <row r="34" spans="1:4" x14ac:dyDescent="0.3">
      <c r="A34" t="s">
        <v>6</v>
      </c>
      <c r="B34">
        <v>2.4500000000000002</v>
      </c>
      <c r="C34">
        <v>6.5000000000000002E-2</v>
      </c>
      <c r="D34" s="1">
        <f t="shared" si="8"/>
        <v>1.5330188679245285</v>
      </c>
    </row>
    <row r="35" spans="1:4" x14ac:dyDescent="0.3">
      <c r="A35">
        <v>0.70899999999999996</v>
      </c>
      <c r="B35">
        <v>1.85</v>
      </c>
      <c r="C35">
        <v>4.8000000000000001E-2</v>
      </c>
      <c r="D35" s="1">
        <f t="shared" si="8"/>
        <v>1.1320754716981132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Латех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Олег Струков</dc:creator>
  <cp:lastModifiedBy>Олег Струков</cp:lastModifiedBy>
  <dcterms:created xsi:type="dcterms:W3CDTF">2025-05-05T06:03:00Z</dcterms:created>
  <dcterms:modified xsi:type="dcterms:W3CDTF">2025-05-07T21:54:45Z</dcterms:modified>
</cp:coreProperties>
</file>