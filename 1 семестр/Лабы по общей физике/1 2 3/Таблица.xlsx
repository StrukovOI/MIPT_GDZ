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Лабы\1 2 3\"/>
    </mc:Choice>
  </mc:AlternateContent>
  <xr:revisionPtr revIDLastSave="0" documentId="13_ncr:1_{2CE568A9-7887-4799-9382-8D3C1E464B05}" xr6:coauthVersionLast="47" xr6:coauthVersionMax="47" xr10:uidLastSave="{00000000-0000-0000-0000-000000000000}"/>
  <bookViews>
    <workbookView xWindow="-108" yWindow="-108" windowWidth="23256" windowHeight="13896" xr2:uid="{D3847A63-418F-4559-ABDE-2E77BD79C9F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2" i="1"/>
  <c r="W2" i="1"/>
  <c r="W18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U8" i="1"/>
  <c r="U10" i="1"/>
  <c r="U6" i="1"/>
  <c r="U3" i="1"/>
  <c r="U4" i="1"/>
  <c r="U5" i="1"/>
  <c r="U7" i="1"/>
  <c r="U9" i="1"/>
  <c r="U11" i="1"/>
  <c r="U12" i="1"/>
  <c r="U13" i="1"/>
  <c r="U14" i="1"/>
  <c r="U15" i="1"/>
  <c r="U16" i="1"/>
  <c r="U17" i="1"/>
  <c r="U18" i="1"/>
  <c r="U2" i="1"/>
  <c r="P17" i="1"/>
  <c r="S18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T2" i="1"/>
  <c r="S2" i="1"/>
  <c r="P16" i="1"/>
  <c r="O7" i="1"/>
  <c r="A13" i="1"/>
  <c r="L4" i="1"/>
  <c r="P4" i="1" s="1"/>
  <c r="M4" i="1"/>
  <c r="M6" i="1"/>
  <c r="M5" i="1"/>
  <c r="F4" i="1"/>
  <c r="A6" i="1"/>
  <c r="M3" i="1"/>
  <c r="M2" i="1"/>
  <c r="M18" i="1"/>
  <c r="P13" i="1"/>
  <c r="P15" i="1"/>
  <c r="L18" i="1"/>
  <c r="P18" i="1" s="1"/>
  <c r="M17" i="1"/>
  <c r="L17" i="1"/>
  <c r="M16" i="1"/>
  <c r="L16" i="1"/>
  <c r="M15" i="1"/>
  <c r="L15" i="1"/>
  <c r="O18" i="1"/>
  <c r="O17" i="1"/>
  <c r="O16" i="1"/>
  <c r="O15" i="1"/>
  <c r="M14" i="1"/>
  <c r="L14" i="1"/>
  <c r="P14" i="1" s="1"/>
  <c r="M13" i="1"/>
  <c r="L13" i="1"/>
  <c r="M12" i="1"/>
  <c r="L12" i="1"/>
  <c r="P12" i="1" s="1"/>
  <c r="L6" i="1"/>
  <c r="P6" i="1" s="1"/>
  <c r="M11" i="1"/>
  <c r="O14" i="1"/>
  <c r="O13" i="1"/>
  <c r="O12" i="1"/>
  <c r="L11" i="1"/>
  <c r="P11" i="1" s="1"/>
  <c r="O11" i="1"/>
  <c r="L10" i="1"/>
  <c r="P10" i="1" s="1"/>
  <c r="P3" i="1"/>
  <c r="P9" i="1"/>
  <c r="O3" i="1"/>
  <c r="O4" i="1"/>
  <c r="O5" i="1"/>
  <c r="O6" i="1"/>
  <c r="O8" i="1"/>
  <c r="O9" i="1"/>
  <c r="O10" i="1"/>
  <c r="O2" i="1"/>
  <c r="M9" i="1"/>
  <c r="L9" i="1"/>
  <c r="M8" i="1"/>
  <c r="L8" i="1"/>
  <c r="P8" i="1" s="1"/>
  <c r="M7" i="1"/>
  <c r="P7" i="1" s="1"/>
  <c r="L7" i="1"/>
  <c r="L5" i="1"/>
  <c r="P5" i="1" s="1"/>
  <c r="L2" i="1"/>
  <c r="P2" i="1" s="1"/>
  <c r="D4" i="1"/>
  <c r="H3" i="1"/>
  <c r="H2" i="1"/>
  <c r="F3" i="1"/>
  <c r="F2" i="1"/>
  <c r="D3" i="1"/>
  <c r="D2" i="1"/>
  <c r="A5" i="1"/>
  <c r="A4" i="1"/>
  <c r="A3" i="1"/>
</calcChain>
</file>

<file path=xl/sharedStrings.xml><?xml version="1.0" encoding="utf-8"?>
<sst xmlns="http://schemas.openxmlformats.org/spreadsheetml/2006/main" count="21" uniqueCount="19">
  <si>
    <t>Период, с</t>
  </si>
  <si>
    <t>Кастрюля</t>
  </si>
  <si>
    <t>Пустая платформа (номер 5) к R прибавить 1 см, r - радиус верхнего колечка, на котором закреплены проволоки</t>
  </si>
  <si>
    <t>масса</t>
  </si>
  <si>
    <t>Крышка</t>
  </si>
  <si>
    <t>771,7 г</t>
  </si>
  <si>
    <t>589,5 г</t>
  </si>
  <si>
    <t>Вместе</t>
  </si>
  <si>
    <t xml:space="preserve">гипотенуза </t>
  </si>
  <si>
    <t>215,7 см</t>
  </si>
  <si>
    <t>диаметр</t>
  </si>
  <si>
    <t>T</t>
  </si>
  <si>
    <t>a, см</t>
  </si>
  <si>
    <t>a^2</t>
  </si>
  <si>
    <t>T^2</t>
  </si>
  <si>
    <t>Массы грузов, г</t>
  </si>
  <si>
    <t>Высота, см</t>
  </si>
  <si>
    <t>I</t>
  </si>
  <si>
    <t>I*1000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</si>
</sst>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T^2(a^2)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Лист1!$O$2:$O$18</c:f>
              <c:numCache>
                <c:formatCode>General</c:formatCode>
                <c:ptCount val="17"/>
                <c:pt idx="0">
                  <c:v>0</c:v>
                </c:pt>
                <c:pt idx="1">
                  <c:v>0.25</c:v>
                </c:pt>
                <c:pt idx="2">
                  <c:v>1</c:v>
                </c:pt>
                <c:pt idx="3">
                  <c:v>2.25</c:v>
                </c:pt>
                <c:pt idx="4">
                  <c:v>4</c:v>
                </c:pt>
                <c:pt idx="5">
                  <c:v>6.25</c:v>
                </c:pt>
                <c:pt idx="6">
                  <c:v>9</c:v>
                </c:pt>
                <c:pt idx="7">
                  <c:v>12.25</c:v>
                </c:pt>
                <c:pt idx="8">
                  <c:v>16</c:v>
                </c:pt>
                <c:pt idx="9">
                  <c:v>20.25</c:v>
                </c:pt>
                <c:pt idx="10">
                  <c:v>25</c:v>
                </c:pt>
                <c:pt idx="11">
                  <c:v>30.25</c:v>
                </c:pt>
                <c:pt idx="12">
                  <c:v>36</c:v>
                </c:pt>
                <c:pt idx="13">
                  <c:v>42.25</c:v>
                </c:pt>
                <c:pt idx="14">
                  <c:v>49</c:v>
                </c:pt>
                <c:pt idx="15">
                  <c:v>56.25</c:v>
                </c:pt>
                <c:pt idx="16">
                  <c:v>64</c:v>
                </c:pt>
              </c:numCache>
            </c:numRef>
          </c:xVal>
          <c:yVal>
            <c:numRef>
              <c:f>Лист1!$P$2:$P$18</c:f>
              <c:numCache>
                <c:formatCode>General</c:formatCode>
                <c:ptCount val="17"/>
                <c:pt idx="0">
                  <c:v>9.4987239999999993</c:v>
                </c:pt>
                <c:pt idx="1">
                  <c:v>9.5480999999999998</c:v>
                </c:pt>
                <c:pt idx="2">
                  <c:v>9.6658810000000006</c:v>
                </c:pt>
                <c:pt idx="3">
                  <c:v>9.8470439999999986</c:v>
                </c:pt>
                <c:pt idx="4">
                  <c:v>10.074275999999999</c:v>
                </c:pt>
                <c:pt idx="5">
                  <c:v>10.426441000000001</c:v>
                </c:pt>
                <c:pt idx="6">
                  <c:v>10.817521000000001</c:v>
                </c:pt>
                <c:pt idx="7">
                  <c:v>11.397376</c:v>
                </c:pt>
                <c:pt idx="8">
                  <c:v>11.924072265625</c:v>
                </c:pt>
                <c:pt idx="9">
                  <c:v>12.630915999999999</c:v>
                </c:pt>
                <c:pt idx="10">
                  <c:v>13.346844444444445</c:v>
                </c:pt>
                <c:pt idx="11">
                  <c:v>14.055001000000001</c:v>
                </c:pt>
                <c:pt idx="12">
                  <c:v>14.868736000000002</c:v>
                </c:pt>
                <c:pt idx="13">
                  <c:v>15.856324000000003</c:v>
                </c:pt>
                <c:pt idx="14">
                  <c:v>16.719921000000003</c:v>
                </c:pt>
                <c:pt idx="15">
                  <c:v>18.122048999999997</c:v>
                </c:pt>
                <c:pt idx="16">
                  <c:v>19.298448999999998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C9-468A-AD04-14ABB62E2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005439"/>
        <c:axId val="643005919"/>
      </c:scatterChart>
      <c:valAx>
        <c:axId val="643005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3005919"/>
        <c:crosses val="autoZero"/>
        <c:crossBetween val="midCat"/>
      </c:valAx>
      <c:valAx>
        <c:axId val="643005919"/>
        <c:scaling>
          <c:orientation val="minMax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3005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x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Лист1!$O$2:$O$19</c:f>
              <c:numCache>
                <c:formatCode>General</c:formatCode>
                <c:ptCount val="18"/>
                <c:pt idx="0">
                  <c:v>0</c:v>
                </c:pt>
                <c:pt idx="1">
                  <c:v>0.25</c:v>
                </c:pt>
                <c:pt idx="2">
                  <c:v>1</c:v>
                </c:pt>
                <c:pt idx="3">
                  <c:v>2.25</c:v>
                </c:pt>
                <c:pt idx="4">
                  <c:v>4</c:v>
                </c:pt>
                <c:pt idx="5">
                  <c:v>6.25</c:v>
                </c:pt>
                <c:pt idx="6">
                  <c:v>9</c:v>
                </c:pt>
                <c:pt idx="7">
                  <c:v>12.25</c:v>
                </c:pt>
                <c:pt idx="8">
                  <c:v>16</c:v>
                </c:pt>
                <c:pt idx="9">
                  <c:v>20.25</c:v>
                </c:pt>
                <c:pt idx="10">
                  <c:v>25</c:v>
                </c:pt>
                <c:pt idx="11">
                  <c:v>30.25</c:v>
                </c:pt>
                <c:pt idx="12">
                  <c:v>36</c:v>
                </c:pt>
                <c:pt idx="13">
                  <c:v>42.25</c:v>
                </c:pt>
                <c:pt idx="14">
                  <c:v>49</c:v>
                </c:pt>
                <c:pt idx="15">
                  <c:v>56.25</c:v>
                </c:pt>
                <c:pt idx="16">
                  <c:v>64</c:v>
                </c:pt>
              </c:numCache>
            </c:numRef>
          </c:xVal>
          <c:yVal>
            <c:numRef>
              <c:f>Лист1!$T$2:$T$18</c:f>
              <c:numCache>
                <c:formatCode>General</c:formatCode>
                <c:ptCount val="17"/>
                <c:pt idx="0">
                  <c:v>1.691869525652999</c:v>
                </c:pt>
                <c:pt idx="1">
                  <c:v>1.7426134013249999</c:v>
                </c:pt>
                <c:pt idx="2">
                  <c:v>1.8636573178132509</c:v>
                </c:pt>
                <c:pt idx="3">
                  <c:v>2.0498391216929988</c:v>
                </c:pt>
                <c:pt idx="4">
                  <c:v>2.2833661865970001</c:v>
                </c:pt>
                <c:pt idx="5">
                  <c:v>2.645287301633251</c:v>
                </c:pt>
                <c:pt idx="6">
                  <c:v>3.0472014886432519</c:v>
                </c:pt>
                <c:pt idx="7">
                  <c:v>3.6431203566720005</c:v>
                </c:pt>
                <c:pt idx="8">
                  <c:v>4.1844078206176754</c:v>
                </c:pt>
                <c:pt idx="9">
                  <c:v>4.9108334236769995</c:v>
                </c:pt>
                <c:pt idx="10">
                  <c:v>5.6465954128000018</c:v>
                </c:pt>
                <c:pt idx="11">
                  <c:v>6.3743702064532508</c:v>
                </c:pt>
                <c:pt idx="12">
                  <c:v>7.2106483105920036</c:v>
                </c:pt>
                <c:pt idx="13">
                  <c:v>8.2255957078530049</c:v>
                </c:pt>
                <c:pt idx="14">
                  <c:v>9.1131171514432534</c:v>
                </c:pt>
                <c:pt idx="15">
                  <c:v>10.554088653959248</c:v>
                </c:pt>
                <c:pt idx="16">
                  <c:v>11.763078757259247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E7-4854-9158-1112DFA21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897183"/>
        <c:axId val="1086899583"/>
      </c:scatterChart>
      <c:valAx>
        <c:axId val="1086897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6899583"/>
        <c:crosses val="autoZero"/>
        <c:crossBetween val="midCat"/>
      </c:valAx>
      <c:valAx>
        <c:axId val="108689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6897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167640</xdr:colOff>
      <xdr:row>33</xdr:row>
      <xdr:rowOff>30480</xdr:rowOff>
    </xdr:from>
    <xdr:to>
      <xdr:col>14</xdr:col>
      <xdr:colOff>144780</xdr:colOff>
      <xdr:row>55</xdr:row>
      <xdr:rowOff>41910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92E7253-7375-553C-C441-CA237E0E84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320040</xdr:colOff>
      <xdr:row>20</xdr:row>
      <xdr:rowOff>76200</xdr:rowOff>
    </xdr:from>
    <xdr:to>
      <xdr:col>13</xdr:col>
      <xdr:colOff>548640</xdr:colOff>
      <xdr:row>42</xdr:row>
      <xdr:rowOff>125730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89C3205-8B37-2DFF-DD65-A96ED129B0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80663-6F60-4423-AEB8-D7077787E40D}">
  <dimension ref="A1:X18"/>
  <sheetViews>
    <sheetView tabSelected="1" topLeftCell="B1" workbookViewId="0">
      <selection activeCell="J3" sqref="J3:J4"/>
    </sheetView>
  </sheetViews>
  <sheetFormatPr defaultRowHeight="14.4" x14ac:dyDescent="0.3"/>
  <sheetData>
    <row r="1" spans="1:24" x14ac:dyDescent="0.3">
      <c r="A1" t="s">
        <v>2</v>
      </c>
      <c r="D1" t="s">
        <v>1</v>
      </c>
      <c r="F1" t="s">
        <v>4</v>
      </c>
      <c r="H1" t="s">
        <v>7</v>
      </c>
      <c r="K1" t="s">
        <v>12</v>
      </c>
      <c r="L1" t="s">
        <v>11</v>
      </c>
      <c r="O1" t="s">
        <v>13</v>
      </c>
      <c r="P1" t="s">
        <v>14</v>
      </c>
      <c r="S1" t="s">
        <v>17</v>
      </c>
      <c r="T1" t="s">
        <v>18</v>
      </c>
    </row>
    <row r="2" spans="1:24" x14ac:dyDescent="0.3">
      <c r="A2" t="s">
        <v>0</v>
      </c>
      <c r="D2">
        <f>84.18/20</f>
        <v>4.2090000000000005</v>
      </c>
      <c r="F2">
        <f>79.47/20</f>
        <v>3.9735</v>
      </c>
      <c r="H2">
        <f>86.99/22</f>
        <v>3.9540909090909087</v>
      </c>
      <c r="J2" t="s">
        <v>15</v>
      </c>
      <c r="K2">
        <v>0</v>
      </c>
      <c r="L2">
        <f>30.82/10</f>
        <v>3.0819999999999999</v>
      </c>
      <c r="M2">
        <f>43.2/14</f>
        <v>3.0857142857142859</v>
      </c>
      <c r="O2">
        <f>K2^2</f>
        <v>0</v>
      </c>
      <c r="P2">
        <f>L2^2</f>
        <v>9.4987239999999993</v>
      </c>
      <c r="S2">
        <f>4.025/10000*(1.5269+1.0264)*P2-8.07/1000</f>
        <v>1.6918695256529989E-3</v>
      </c>
      <c r="T2">
        <f>S2*1000</f>
        <v>1.691869525652999</v>
      </c>
      <c r="U2">
        <f>ROUND(T2,3)</f>
        <v>1.6919999999999999</v>
      </c>
      <c r="W2">
        <f>T2*T2</f>
        <v>2.8624224918333039</v>
      </c>
      <c r="X2">
        <f>O2*O2</f>
        <v>0</v>
      </c>
    </row>
    <row r="3" spans="1:24" x14ac:dyDescent="0.3">
      <c r="A3">
        <f>143.24/32</f>
        <v>4.4762500000000003</v>
      </c>
      <c r="D3">
        <f>84.04/20</f>
        <v>4.202</v>
      </c>
      <c r="F3">
        <f>87.07/22</f>
        <v>3.9577272727272725</v>
      </c>
      <c r="H3" s="1">
        <f>90.5/23</f>
        <v>3.9347826086956523</v>
      </c>
      <c r="J3">
        <v>763.7</v>
      </c>
      <c r="K3">
        <v>0.5</v>
      </c>
      <c r="L3">
        <v>3.09</v>
      </c>
      <c r="M3">
        <f>36.99/12</f>
        <v>3.0825</v>
      </c>
      <c r="O3">
        <f t="shared" ref="O3:O18" si="0">K3^2</f>
        <v>0.25</v>
      </c>
      <c r="P3">
        <f t="shared" ref="P3:P18" si="1">L3^2</f>
        <v>9.5480999999999998</v>
      </c>
      <c r="S3">
        <f t="shared" ref="S3:S18" si="2">4.025/10000*(1.5269+1.0264)*P3-8.07/1000</f>
        <v>1.7426134013249998E-3</v>
      </c>
      <c r="T3">
        <f t="shared" ref="T3:T18" si="3">S3*1000</f>
        <v>1.7426134013249999</v>
      </c>
      <c r="U3">
        <f t="shared" ref="U3:U18" si="4">ROUND(T3,3)</f>
        <v>1.7430000000000001</v>
      </c>
      <c r="W3">
        <f t="shared" ref="W3:W18" si="5">T3*T3</f>
        <v>3.036701466477485</v>
      </c>
      <c r="X3">
        <f t="shared" ref="X3:X18" si="6">O3*O3</f>
        <v>6.25E-2</v>
      </c>
    </row>
    <row r="4" spans="1:24" x14ac:dyDescent="0.3">
      <c r="A4" s="1">
        <f>132.74/30</f>
        <v>4.424666666666667</v>
      </c>
      <c r="D4">
        <f>83.99/20</f>
        <v>4.1994999999999996</v>
      </c>
      <c r="F4">
        <f>39.62/10</f>
        <v>3.9619999999999997</v>
      </c>
      <c r="J4">
        <v>763.2</v>
      </c>
      <c r="K4">
        <v>1</v>
      </c>
      <c r="L4">
        <f>31.09/10</f>
        <v>3.109</v>
      </c>
      <c r="M4">
        <f>31.15/10</f>
        <v>3.1149999999999998</v>
      </c>
      <c r="O4">
        <f t="shared" si="0"/>
        <v>1</v>
      </c>
      <c r="P4">
        <f t="shared" si="1"/>
        <v>9.6658810000000006</v>
      </c>
      <c r="S4">
        <f t="shared" si="2"/>
        <v>1.8636573178132509E-3</v>
      </c>
      <c r="T4">
        <f t="shared" si="3"/>
        <v>1.8636573178132509</v>
      </c>
      <c r="U4">
        <f t="shared" si="4"/>
        <v>1.8640000000000001</v>
      </c>
      <c r="W4">
        <f t="shared" si="5"/>
        <v>3.4732185982388808</v>
      </c>
      <c r="X4">
        <f t="shared" si="6"/>
        <v>1</v>
      </c>
    </row>
    <row r="5" spans="1:24" x14ac:dyDescent="0.3">
      <c r="A5" s="1">
        <f>159.14/36</f>
        <v>4.4205555555555556</v>
      </c>
      <c r="K5">
        <v>1.5</v>
      </c>
      <c r="L5">
        <f>31.38/10</f>
        <v>3.1379999999999999</v>
      </c>
      <c r="M5">
        <f>31.35/10</f>
        <v>3.1350000000000002</v>
      </c>
      <c r="O5">
        <f t="shared" si="0"/>
        <v>2.25</v>
      </c>
      <c r="P5">
        <f t="shared" si="1"/>
        <v>9.8470439999999986</v>
      </c>
      <c r="S5">
        <f t="shared" si="2"/>
        <v>2.0498391216929989E-3</v>
      </c>
      <c r="T5">
        <f t="shared" si="3"/>
        <v>2.0498391216929988</v>
      </c>
      <c r="U5">
        <f t="shared" si="4"/>
        <v>2.0499999999999998</v>
      </c>
      <c r="W5">
        <f t="shared" si="5"/>
        <v>4.2018404248231249</v>
      </c>
      <c r="X5">
        <f t="shared" si="6"/>
        <v>5.0625</v>
      </c>
    </row>
    <row r="6" spans="1:24" x14ac:dyDescent="0.3">
      <c r="A6">
        <f>66.48/15</f>
        <v>4.4320000000000004</v>
      </c>
      <c r="D6" t="s">
        <v>3</v>
      </c>
      <c r="F6" t="s">
        <v>3</v>
      </c>
      <c r="H6" t="s">
        <v>3</v>
      </c>
      <c r="K6">
        <v>2</v>
      </c>
      <c r="L6">
        <f>31.74/10</f>
        <v>3.1739999999999999</v>
      </c>
      <c r="M6">
        <f>31.85/10</f>
        <v>3.1850000000000001</v>
      </c>
      <c r="O6">
        <f t="shared" si="0"/>
        <v>4</v>
      </c>
      <c r="P6">
        <f t="shared" si="1"/>
        <v>10.074275999999999</v>
      </c>
      <c r="S6">
        <f t="shared" si="2"/>
        <v>2.2833661865970002E-3</v>
      </c>
      <c r="T6">
        <f t="shared" si="3"/>
        <v>2.2833661865970001</v>
      </c>
      <c r="U6">
        <f>ROUND(T6,3)</f>
        <v>2.2829999999999999</v>
      </c>
      <c r="W6">
        <f t="shared" si="5"/>
        <v>5.2137611420945262</v>
      </c>
      <c r="X6">
        <f t="shared" si="6"/>
        <v>16</v>
      </c>
    </row>
    <row r="7" spans="1:24" x14ac:dyDescent="0.3">
      <c r="D7" t="s">
        <v>5</v>
      </c>
      <c r="F7" t="s">
        <v>6</v>
      </c>
      <c r="H7">
        <v>1361.2</v>
      </c>
      <c r="K7">
        <v>2.5</v>
      </c>
      <c r="L7">
        <f>32.34/10</f>
        <v>3.2340000000000004</v>
      </c>
      <c r="M7">
        <f>32.29/10</f>
        <v>3.2290000000000001</v>
      </c>
      <c r="O7">
        <f>K7^2</f>
        <v>6.25</v>
      </c>
      <c r="P7">
        <f>M7^2</f>
        <v>10.426441000000001</v>
      </c>
      <c r="S7">
        <f t="shared" si="2"/>
        <v>2.645287301633251E-3</v>
      </c>
      <c r="T7">
        <f t="shared" si="3"/>
        <v>2.645287301633251</v>
      </c>
      <c r="U7">
        <f t="shared" si="4"/>
        <v>2.645</v>
      </c>
      <c r="W7">
        <f t="shared" si="5"/>
        <v>6.9975449081821264</v>
      </c>
      <c r="X7">
        <f t="shared" si="6"/>
        <v>39.0625</v>
      </c>
    </row>
    <row r="8" spans="1:24" x14ac:dyDescent="0.3">
      <c r="A8" t="s">
        <v>8</v>
      </c>
      <c r="K8">
        <v>3</v>
      </c>
      <c r="L8">
        <f>32.89/10</f>
        <v>3.2890000000000001</v>
      </c>
      <c r="M8">
        <f>36.14/11</f>
        <v>3.2854545454545456</v>
      </c>
      <c r="O8">
        <f t="shared" si="0"/>
        <v>9</v>
      </c>
      <c r="P8">
        <f t="shared" si="1"/>
        <v>10.817521000000001</v>
      </c>
      <c r="S8">
        <f t="shared" si="2"/>
        <v>3.047201488643252E-3</v>
      </c>
      <c r="T8">
        <f t="shared" si="3"/>
        <v>3.0472014886432519</v>
      </c>
      <c r="U8">
        <f>ROUND(T8,3)</f>
        <v>3.0470000000000002</v>
      </c>
      <c r="W8">
        <f t="shared" si="5"/>
        <v>9.2854369123896507</v>
      </c>
      <c r="X8">
        <f t="shared" si="6"/>
        <v>81</v>
      </c>
    </row>
    <row r="9" spans="1:24" x14ac:dyDescent="0.3">
      <c r="A9" t="s">
        <v>9</v>
      </c>
      <c r="K9">
        <v>3.5</v>
      </c>
      <c r="L9">
        <f>33.76/10</f>
        <v>3.3759999999999999</v>
      </c>
      <c r="M9">
        <f>33.71/10</f>
        <v>3.371</v>
      </c>
      <c r="O9">
        <f t="shared" si="0"/>
        <v>12.25</v>
      </c>
      <c r="P9">
        <f t="shared" si="1"/>
        <v>11.397376</v>
      </c>
      <c r="S9">
        <f t="shared" si="2"/>
        <v>3.6431203566720007E-3</v>
      </c>
      <c r="T9">
        <f t="shared" si="3"/>
        <v>3.6431203566720005</v>
      </c>
      <c r="U9">
        <f t="shared" si="4"/>
        <v>3.6429999999999998</v>
      </c>
      <c r="W9">
        <f t="shared" si="5"/>
        <v>13.272325933197925</v>
      </c>
      <c r="X9">
        <f t="shared" si="6"/>
        <v>150.0625</v>
      </c>
    </row>
    <row r="10" spans="1:24" x14ac:dyDescent="0.3">
      <c r="A10" t="s">
        <v>10</v>
      </c>
      <c r="K10">
        <v>4</v>
      </c>
      <c r="L10">
        <f>55.25/16</f>
        <v>3.453125</v>
      </c>
      <c r="M10">
        <v>34.46</v>
      </c>
      <c r="O10">
        <f t="shared" si="0"/>
        <v>16</v>
      </c>
      <c r="P10">
        <f t="shared" si="1"/>
        <v>11.924072265625</v>
      </c>
      <c r="S10">
        <f t="shared" si="2"/>
        <v>4.1844078206176756E-3</v>
      </c>
      <c r="T10">
        <f t="shared" si="3"/>
        <v>4.1844078206176754</v>
      </c>
      <c r="U10">
        <f>ROUND(T10,3)</f>
        <v>4.1840000000000002</v>
      </c>
      <c r="W10">
        <f t="shared" si="5"/>
        <v>17.509268809246365</v>
      </c>
      <c r="X10">
        <f t="shared" si="6"/>
        <v>256</v>
      </c>
    </row>
    <row r="11" spans="1:24" x14ac:dyDescent="0.3">
      <c r="A11">
        <v>25</v>
      </c>
      <c r="K11">
        <v>4.5</v>
      </c>
      <c r="L11">
        <f>35.54/10</f>
        <v>3.5539999999999998</v>
      </c>
      <c r="M11">
        <f>35.51/10</f>
        <v>3.5509999999999997</v>
      </c>
      <c r="O11">
        <f t="shared" si="0"/>
        <v>20.25</v>
      </c>
      <c r="P11">
        <f t="shared" si="1"/>
        <v>12.630915999999999</v>
      </c>
      <c r="S11">
        <f t="shared" si="2"/>
        <v>4.9108334236769996E-3</v>
      </c>
      <c r="T11">
        <f t="shared" si="3"/>
        <v>4.9108334236769995</v>
      </c>
      <c r="U11">
        <f t="shared" si="4"/>
        <v>4.9109999999999996</v>
      </c>
      <c r="W11">
        <f t="shared" si="5"/>
        <v>24.116284915103162</v>
      </c>
      <c r="X11">
        <f t="shared" si="6"/>
        <v>410.0625</v>
      </c>
    </row>
    <row r="12" spans="1:24" x14ac:dyDescent="0.3">
      <c r="A12" t="s">
        <v>16</v>
      </c>
      <c r="K12">
        <v>5</v>
      </c>
      <c r="L12">
        <f>54.8/15</f>
        <v>3.6533333333333333</v>
      </c>
      <c r="M12">
        <f>36.45/10</f>
        <v>3.6450000000000005</v>
      </c>
      <c r="O12">
        <f t="shared" si="0"/>
        <v>25</v>
      </c>
      <c r="P12">
        <f t="shared" si="1"/>
        <v>13.346844444444445</v>
      </c>
      <c r="S12">
        <f t="shared" si="2"/>
        <v>5.6465954128000016E-3</v>
      </c>
      <c r="T12">
        <f t="shared" si="3"/>
        <v>5.6465954128000018</v>
      </c>
      <c r="U12">
        <f t="shared" si="4"/>
        <v>5.6470000000000002</v>
      </c>
      <c r="W12">
        <f t="shared" si="5"/>
        <v>31.884039755854023</v>
      </c>
      <c r="X12">
        <f t="shared" si="6"/>
        <v>625</v>
      </c>
    </row>
    <row r="13" spans="1:24" x14ac:dyDescent="0.3">
      <c r="A13">
        <f>SQRT(215.7^2-12.5^2)</f>
        <v>215.33750253961801</v>
      </c>
      <c r="K13">
        <v>5.5</v>
      </c>
      <c r="L13">
        <f>37.49/10</f>
        <v>3.7490000000000001</v>
      </c>
      <c r="M13">
        <f>37.38/10</f>
        <v>3.7380000000000004</v>
      </c>
      <c r="O13">
        <f t="shared" si="0"/>
        <v>30.25</v>
      </c>
      <c r="P13">
        <f t="shared" si="1"/>
        <v>14.055001000000001</v>
      </c>
      <c r="S13">
        <f t="shared" si="2"/>
        <v>6.3743702064532511E-3</v>
      </c>
      <c r="T13">
        <f t="shared" si="3"/>
        <v>6.3743702064532508</v>
      </c>
      <c r="U13">
        <f t="shared" si="4"/>
        <v>6.3739999999999997</v>
      </c>
      <c r="W13">
        <f t="shared" si="5"/>
        <v>40.632595528918863</v>
      </c>
      <c r="X13">
        <f t="shared" si="6"/>
        <v>915.0625</v>
      </c>
    </row>
    <row r="14" spans="1:24" x14ac:dyDescent="0.3">
      <c r="K14">
        <v>6</v>
      </c>
      <c r="L14">
        <f>38.56/10</f>
        <v>3.8560000000000003</v>
      </c>
      <c r="M14">
        <f>38.54/10</f>
        <v>3.8540000000000001</v>
      </c>
      <c r="O14">
        <f t="shared" si="0"/>
        <v>36</v>
      </c>
      <c r="P14">
        <f t="shared" si="1"/>
        <v>14.868736000000002</v>
      </c>
      <c r="S14">
        <f t="shared" si="2"/>
        <v>7.2106483105920036E-3</v>
      </c>
      <c r="T14">
        <f t="shared" si="3"/>
        <v>7.2106483105920036</v>
      </c>
      <c r="U14">
        <f t="shared" si="4"/>
        <v>7.2110000000000003</v>
      </c>
      <c r="W14">
        <f t="shared" si="5"/>
        <v>51.993449059043314</v>
      </c>
      <c r="X14">
        <f t="shared" si="6"/>
        <v>1296</v>
      </c>
    </row>
    <row r="15" spans="1:24" x14ac:dyDescent="0.3">
      <c r="K15">
        <v>6.5</v>
      </c>
      <c r="L15">
        <f>39.82/10</f>
        <v>3.9820000000000002</v>
      </c>
      <c r="M15">
        <f>39.78/10</f>
        <v>3.9780000000000002</v>
      </c>
      <c r="O15">
        <f t="shared" si="0"/>
        <v>42.25</v>
      </c>
      <c r="P15">
        <f t="shared" si="1"/>
        <v>15.856324000000003</v>
      </c>
      <c r="S15">
        <f t="shared" si="2"/>
        <v>8.2255957078530041E-3</v>
      </c>
      <c r="T15">
        <f t="shared" si="3"/>
        <v>8.2255957078530049</v>
      </c>
      <c r="U15">
        <f t="shared" si="4"/>
        <v>8.2260000000000009</v>
      </c>
      <c r="W15">
        <f t="shared" si="5"/>
        <v>67.660424749049781</v>
      </c>
      <c r="X15">
        <f t="shared" si="6"/>
        <v>1785.0625</v>
      </c>
    </row>
    <row r="16" spans="1:24" x14ac:dyDescent="0.3">
      <c r="K16">
        <v>7</v>
      </c>
      <c r="L16">
        <f>40.89/10</f>
        <v>4.0890000000000004</v>
      </c>
      <c r="M16">
        <f>40.88/10</f>
        <v>4.0880000000000001</v>
      </c>
      <c r="O16">
        <f t="shared" si="0"/>
        <v>49</v>
      </c>
      <c r="P16">
        <f>L16^2</f>
        <v>16.719921000000003</v>
      </c>
      <c r="S16">
        <f t="shared" si="2"/>
        <v>9.1131171514432542E-3</v>
      </c>
      <c r="T16">
        <f t="shared" si="3"/>
        <v>9.1131171514432534</v>
      </c>
      <c r="U16">
        <f t="shared" si="4"/>
        <v>9.1129999999999995</v>
      </c>
      <c r="W16">
        <f t="shared" si="5"/>
        <v>83.048904215929198</v>
      </c>
      <c r="X16">
        <f t="shared" si="6"/>
        <v>2401</v>
      </c>
    </row>
    <row r="17" spans="11:24" x14ac:dyDescent="0.3">
      <c r="K17">
        <v>7.5</v>
      </c>
      <c r="L17">
        <f>42.66/10</f>
        <v>4.266</v>
      </c>
      <c r="M17">
        <f>42.57/10</f>
        <v>4.2569999999999997</v>
      </c>
      <c r="O17">
        <f t="shared" si="0"/>
        <v>56.25</v>
      </c>
      <c r="P17">
        <f>M17^2</f>
        <v>18.122048999999997</v>
      </c>
      <c r="S17">
        <f t="shared" si="2"/>
        <v>1.0554088653959248E-2</v>
      </c>
      <c r="T17">
        <f t="shared" si="3"/>
        <v>10.554088653959248</v>
      </c>
      <c r="U17">
        <f t="shared" si="4"/>
        <v>10.554</v>
      </c>
      <c r="W17">
        <f t="shared" si="5"/>
        <v>111.38878731563133</v>
      </c>
      <c r="X17">
        <f t="shared" si="6"/>
        <v>3164.0625</v>
      </c>
    </row>
    <row r="18" spans="11:24" x14ac:dyDescent="0.3">
      <c r="K18">
        <v>8</v>
      </c>
      <c r="L18">
        <f>43.93/10</f>
        <v>4.3929999999999998</v>
      </c>
      <c r="M18">
        <f>43.87/10</f>
        <v>4.3869999999999996</v>
      </c>
      <c r="O18">
        <f t="shared" si="0"/>
        <v>64</v>
      </c>
      <c r="P18">
        <f t="shared" si="1"/>
        <v>19.298448999999998</v>
      </c>
      <c r="S18">
        <f>4.025/10000*(1.5269+1.0264)*P18-8.07/1000</f>
        <v>1.1763078757259248E-2</v>
      </c>
      <c r="T18">
        <f t="shared" si="3"/>
        <v>11.763078757259247</v>
      </c>
      <c r="U18">
        <f t="shared" si="4"/>
        <v>11.763</v>
      </c>
      <c r="W18">
        <f>T18*T18</f>
        <v>138.37002184948375</v>
      </c>
      <c r="X18">
        <f t="shared" si="6"/>
        <v>4096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2024-10-03T06:00:09Z</dcterms:created>
  <dcterms:modified xsi:type="dcterms:W3CDTF">2024-10-06T12:46:07Z</dcterms:modified>
</cp:coreProperties>
</file>