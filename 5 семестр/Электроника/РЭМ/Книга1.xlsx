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Электроника\5 семестр\РЭМ\"/>
    </mc:Choice>
  </mc:AlternateContent>
  <xr:revisionPtr revIDLastSave="0" documentId="13_ncr:1_{4E5D68C9-82FC-4E13-A87F-F28B9F47BC49}" xr6:coauthVersionLast="47" xr6:coauthVersionMax="47" xr10:uidLastSave="{00000000-0000-0000-0000-000000000000}"/>
  <bookViews>
    <workbookView xWindow="-108" yWindow="-108" windowWidth="23256" windowHeight="13896" xr2:uid="{B36E8A27-8D17-49B1-B546-FBC4778A158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E3" i="1"/>
  <c r="E4" i="1"/>
  <c r="E5" i="1"/>
  <c r="E6" i="1"/>
  <c r="E7" i="1"/>
  <c r="E8" i="1"/>
  <c r="E9" i="1"/>
  <c r="E10" i="1"/>
  <c r="E11" i="1"/>
  <c r="E12" i="1"/>
  <c r="E13" i="1"/>
  <c r="E2" i="1"/>
  <c r="F3" i="1"/>
  <c r="F4" i="1"/>
  <c r="F5" i="1"/>
  <c r="F6" i="1"/>
  <c r="F7" i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<sst xmlns="http://schemas.openxmlformats.org/spreadsheetml/2006/main" count="5" uniqueCount="5">
  <si>
    <t>Поверхность, нА</t>
  </si>
  <si>
    <t>Отверстие, нА</t>
  </si>
  <si>
    <t>Погрешность, пА</t>
  </si>
  <si>
    <t>Напряжение, кВ</t>
  </si>
  <si>
    <t>Коэффициент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</si>
</sst>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Лист1!$E$2:$E$13</c:f>
              <c:numCache>
                <c:formatCode>General</c:formatCode>
                <c:ptCount val="12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17</c:v>
                </c:pt>
                <c:pt idx="4">
                  <c:v>15</c:v>
                </c:pt>
                <c:pt idx="5">
                  <c:v>12</c:v>
                </c:pt>
                <c:pt idx="6">
                  <c:v>10</c:v>
                </c:pt>
                <c:pt idx="7">
                  <c:v>5</c:v>
                </c:pt>
                <c:pt idx="8">
                  <c:v>2</c:v>
                </c:pt>
                <c:pt idx="9">
                  <c:v>1.5</c:v>
                </c:pt>
                <c:pt idx="10">
                  <c:v>1</c:v>
                </c:pt>
                <c:pt idx="11">
                  <c:v>0.5</c:v>
                </c:pt>
              </c:numCache>
            </c:numRef>
          </c:xVal>
          <c:yVal>
            <c:numRef>
              <c:f>Лист1!$F$2:$F$13</c:f>
              <c:numCache>
                <c:formatCode>General</c:formatCode>
                <c:ptCount val="12"/>
                <c:pt idx="0">
                  <c:v>0.22105263157894728</c:v>
                </c:pt>
                <c:pt idx="1">
                  <c:v>0.23880597014925373</c:v>
                </c:pt>
                <c:pt idx="2">
                  <c:v>0.22278481012658233</c:v>
                </c:pt>
                <c:pt idx="3">
                  <c:v>0.22608695652173902</c:v>
                </c:pt>
                <c:pt idx="4">
                  <c:v>0.2270270270270271</c:v>
                </c:pt>
                <c:pt idx="5">
                  <c:v>0.22343324250681204</c:v>
                </c:pt>
                <c:pt idx="6">
                  <c:v>0.21612903225806454</c:v>
                </c:pt>
                <c:pt idx="7">
                  <c:v>0.20333333333333334</c:v>
                </c:pt>
                <c:pt idx="8">
                  <c:v>0.15186246418338106</c:v>
                </c:pt>
                <c:pt idx="9">
                  <c:v>0.13190184049079764</c:v>
                </c:pt>
                <c:pt idx="10">
                  <c:v>0.10240963855421695</c:v>
                </c:pt>
                <c:pt idx="11">
                  <c:v>5.0000000000000044E-2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66-4874-8C84-99E12D08C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387280"/>
        <c:axId val="1372187920"/>
      </c:scatterChart>
      <c:valAx>
        <c:axId val="136838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187920"/>
        <c:crosses val="autoZero"/>
        <c:crossBetween val="midCat"/>
      </c:valAx>
      <c:valAx>
        <c:axId val="137218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838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1</xdr:row>
      <xdr:rowOff>72390</xdr:rowOff>
    </xdr:from>
    <xdr:to>
      <xdr:col>18</xdr:col>
      <xdr:colOff>449580</xdr:colOff>
      <xdr:row>24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06C01E-BC63-F0CA-0993-45CB5051D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BD79-96BC-4B02-BE98-E0C4687931FA}">
  <dimension ref="A1:F13"/>
  <sheetViews>
    <sheetView tabSelected="1" workbookViewId="0">
      <selection sqref="A1:F13"/>
    </sheetView>
  </sheetViews>
  <sheetFormatPr defaultRowHeight="14.4" x14ac:dyDescent="0.3"/>
  <cols>
    <col min="1" max="1" width="11.33203125" customWidth="1"/>
    <col min="2" max="2" width="15.5546875" customWidth="1"/>
    <col min="3" max="3" width="12.21875" customWidth="1"/>
  </cols>
  <sheetData>
    <row r="1" spans="1:6" x14ac:dyDescent="0.3">
      <c r="A1" t="s">
        <v>3</v>
      </c>
      <c r="B1" t="s">
        <v>0</v>
      </c>
      <c r="C1" t="s">
        <v>1</v>
      </c>
      <c r="D1" t="s">
        <v>2</v>
      </c>
      <c r="F1" t="s">
        <v>4</v>
      </c>
    </row>
    <row r="2" spans="1:6" x14ac:dyDescent="0.3">
      <c r="A2">
        <v>30</v>
      </c>
      <c r="B2">
        <v>0.44400000000000001</v>
      </c>
      <c r="C2">
        <v>0.56999999999999995</v>
      </c>
      <c r="D2">
        <v>1</v>
      </c>
      <c r="E2">
        <f>A2</f>
        <v>30</v>
      </c>
      <c r="F2">
        <f>(C2-B2)/C2</f>
        <v>0.22105263157894728</v>
      </c>
    </row>
    <row r="3" spans="1:6" x14ac:dyDescent="0.3">
      <c r="A3">
        <v>25</v>
      </c>
      <c r="B3">
        <v>0.35699999999999998</v>
      </c>
      <c r="C3">
        <v>0.46899999999999997</v>
      </c>
      <c r="D3">
        <v>1</v>
      </c>
      <c r="E3">
        <f t="shared" ref="E3:E13" si="0">A3</f>
        <v>25</v>
      </c>
      <c r="F3">
        <f t="shared" ref="F3:F13" si="1">(C3-B3)/C3</f>
        <v>0.23880597014925373</v>
      </c>
    </row>
    <row r="4" spans="1:6" x14ac:dyDescent="0.3">
      <c r="A4">
        <v>20</v>
      </c>
      <c r="B4">
        <v>0.307</v>
      </c>
      <c r="C4">
        <v>0.39500000000000002</v>
      </c>
      <c r="D4">
        <v>1</v>
      </c>
      <c r="E4">
        <f t="shared" si="0"/>
        <v>20</v>
      </c>
      <c r="F4">
        <f t="shared" si="1"/>
        <v>0.22278481012658233</v>
      </c>
    </row>
    <row r="5" spans="1:6" x14ac:dyDescent="0.3">
      <c r="A5">
        <v>17</v>
      </c>
      <c r="B5">
        <v>0.26700000000000002</v>
      </c>
      <c r="C5">
        <v>0.34499999999999997</v>
      </c>
      <c r="D5">
        <v>1</v>
      </c>
      <c r="E5">
        <f t="shared" si="0"/>
        <v>17</v>
      </c>
      <c r="F5">
        <f t="shared" si="1"/>
        <v>0.22608695652173902</v>
      </c>
    </row>
    <row r="6" spans="1:6" x14ac:dyDescent="0.3">
      <c r="A6">
        <v>15</v>
      </c>
      <c r="B6">
        <v>0.28599999999999998</v>
      </c>
      <c r="C6">
        <v>0.37</v>
      </c>
      <c r="D6">
        <v>1</v>
      </c>
      <c r="E6">
        <f t="shared" si="0"/>
        <v>15</v>
      </c>
      <c r="F6">
        <f t="shared" si="1"/>
        <v>0.2270270270270271</v>
      </c>
    </row>
    <row r="7" spans="1:6" x14ac:dyDescent="0.3">
      <c r="A7">
        <v>12</v>
      </c>
      <c r="B7">
        <v>0.28499999999999998</v>
      </c>
      <c r="C7">
        <v>0.36699999999999999</v>
      </c>
      <c r="D7">
        <v>1</v>
      </c>
      <c r="E7">
        <f t="shared" si="0"/>
        <v>12</v>
      </c>
      <c r="F7">
        <f t="shared" si="1"/>
        <v>0.22343324250681204</v>
      </c>
    </row>
    <row r="8" spans="1:6" x14ac:dyDescent="0.3">
      <c r="A8">
        <v>10</v>
      </c>
      <c r="B8">
        <v>0.24299999999999999</v>
      </c>
      <c r="C8">
        <v>0.31</v>
      </c>
      <c r="D8">
        <v>1</v>
      </c>
      <c r="E8">
        <f t="shared" si="0"/>
        <v>10</v>
      </c>
      <c r="F8">
        <f t="shared" si="1"/>
        <v>0.21612903225806454</v>
      </c>
    </row>
    <row r="9" spans="1:6" x14ac:dyDescent="0.3">
      <c r="A9">
        <v>5</v>
      </c>
      <c r="B9">
        <v>0.23899999999999999</v>
      </c>
      <c r="C9">
        <v>0.3</v>
      </c>
      <c r="D9">
        <v>1</v>
      </c>
      <c r="E9">
        <f t="shared" si="0"/>
        <v>5</v>
      </c>
      <c r="F9">
        <f t="shared" si="1"/>
        <v>0.20333333333333334</v>
      </c>
    </row>
    <row r="10" spans="1:6" x14ac:dyDescent="0.3">
      <c r="A10">
        <v>2</v>
      </c>
      <c r="B10">
        <v>0.29599999999999999</v>
      </c>
      <c r="C10">
        <v>0.34899999999999998</v>
      </c>
      <c r="D10">
        <v>1</v>
      </c>
      <c r="E10">
        <f t="shared" si="0"/>
        <v>2</v>
      </c>
      <c r="F10">
        <f t="shared" si="1"/>
        <v>0.15186246418338106</v>
      </c>
    </row>
    <row r="11" spans="1:6" x14ac:dyDescent="0.3">
      <c r="A11">
        <v>1.5</v>
      </c>
      <c r="B11">
        <v>0.28299999999999997</v>
      </c>
      <c r="C11">
        <v>0.32600000000000001</v>
      </c>
      <c r="D11">
        <v>1</v>
      </c>
      <c r="E11">
        <f t="shared" si="0"/>
        <v>1.5</v>
      </c>
      <c r="F11">
        <f t="shared" si="1"/>
        <v>0.13190184049079764</v>
      </c>
    </row>
    <row r="12" spans="1:6" x14ac:dyDescent="0.3">
      <c r="A12">
        <v>1</v>
      </c>
      <c r="B12">
        <v>0.29799999999999999</v>
      </c>
      <c r="C12">
        <v>0.33200000000000002</v>
      </c>
      <c r="D12">
        <v>1</v>
      </c>
      <c r="E12">
        <f t="shared" si="0"/>
        <v>1</v>
      </c>
      <c r="F12">
        <f t="shared" si="1"/>
        <v>0.10240963855421695</v>
      </c>
    </row>
    <row r="13" spans="1:6" x14ac:dyDescent="0.3">
      <c r="A13">
        <v>0.5</v>
      </c>
      <c r="B13">
        <v>9.5000000000000001E-2</v>
      </c>
      <c r="C13">
        <v>0.1</v>
      </c>
      <c r="D13">
        <v>1</v>
      </c>
      <c r="E13">
        <f t="shared" si="0"/>
        <v>0.5</v>
      </c>
      <c r="F13">
        <f t="shared" si="1"/>
        <v>5.0000000000000044E-2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2026-09-18T09:44:07Z</dcterms:created>
  <dcterms:modified xsi:type="dcterms:W3CDTF">2026-09-18T13:53:14Z</dcterms:modified>
</cp:coreProperties>
</file>