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3 семестр\3 5 1\"/>
    </mc:Choice>
  </mc:AlternateContent>
  <xr:revisionPtr revIDLastSave="0" documentId="13_ncr:1_{7822C4FC-0C61-4D50-B988-26F4645CB534}" xr6:coauthVersionLast="47" xr6:coauthVersionMax="47" xr10:uidLastSave="{00000000-0000-0000-0000-000000000000}"/>
  <bookViews>
    <workbookView xWindow="-108" yWindow="-108" windowWidth="23256" windowHeight="13896" activeTab="2" xr2:uid="{8FF35951-FA8A-4419-A010-27F6D18D2001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" i="3" l="1"/>
  <c r="Q15" i="3"/>
  <c r="Q16" i="3"/>
  <c r="Q17" i="3"/>
  <c r="Q18" i="3"/>
  <c r="Q19" i="3"/>
  <c r="Q20" i="3"/>
  <c r="Q21" i="3"/>
  <c r="Q22" i="3"/>
  <c r="Q13" i="3"/>
  <c r="Q12" i="3"/>
  <c r="Q3" i="3"/>
  <c r="Q4" i="3"/>
  <c r="Q5" i="3"/>
  <c r="Q6" i="3"/>
  <c r="Q7" i="3"/>
  <c r="Q8" i="3"/>
  <c r="Q9" i="3"/>
  <c r="Q10" i="3"/>
  <c r="Q11" i="3"/>
  <c r="Q2" i="3"/>
  <c r="K14" i="3"/>
  <c r="K15" i="3"/>
  <c r="K16" i="3"/>
  <c r="K17" i="3"/>
  <c r="K18" i="3"/>
  <c r="K19" i="3"/>
  <c r="K20" i="3"/>
  <c r="K21" i="3"/>
  <c r="K22" i="3"/>
  <c r="K23" i="3"/>
  <c r="K13" i="3"/>
  <c r="K3" i="3"/>
  <c r="K4" i="3"/>
  <c r="K5" i="3"/>
  <c r="K6" i="3"/>
  <c r="K7" i="3"/>
  <c r="K8" i="3"/>
  <c r="K9" i="3"/>
  <c r="K10" i="3"/>
  <c r="K11" i="3"/>
  <c r="K12" i="3"/>
  <c r="K2" i="3"/>
  <c r="E14" i="3"/>
  <c r="E15" i="3"/>
  <c r="E16" i="3"/>
  <c r="E17" i="3"/>
  <c r="E18" i="3"/>
  <c r="E19" i="3"/>
  <c r="E20" i="3"/>
  <c r="E21" i="3"/>
  <c r="E22" i="3"/>
  <c r="E23" i="3"/>
  <c r="E13" i="3"/>
  <c r="E3" i="3"/>
  <c r="E4" i="3"/>
  <c r="E5" i="3"/>
  <c r="E6" i="3"/>
  <c r="E7" i="3"/>
  <c r="E8" i="3"/>
  <c r="E9" i="3"/>
  <c r="E10" i="3"/>
  <c r="E11" i="3"/>
  <c r="E12" i="3"/>
  <c r="E2" i="3"/>
  <c r="R13" i="3"/>
  <c r="R14" i="3"/>
  <c r="R15" i="3"/>
  <c r="R16" i="3"/>
  <c r="R17" i="3"/>
  <c r="R18" i="3"/>
  <c r="R19" i="3"/>
  <c r="R20" i="3"/>
  <c r="R21" i="3"/>
  <c r="R22" i="3"/>
  <c r="R23" i="3"/>
  <c r="Q23" i="3"/>
  <c r="L23" i="3"/>
  <c r="L22" i="3"/>
  <c r="L21" i="3"/>
  <c r="L20" i="3"/>
  <c r="L19" i="3"/>
  <c r="L18" i="3"/>
  <c r="L17" i="3"/>
  <c r="L16" i="3"/>
  <c r="L15" i="3"/>
  <c r="L14" i="3"/>
  <c r="L13" i="3"/>
  <c r="F13" i="3"/>
  <c r="F14" i="3"/>
  <c r="F15" i="3"/>
  <c r="F16" i="3"/>
  <c r="F17" i="3"/>
  <c r="F18" i="3"/>
  <c r="F19" i="3"/>
  <c r="F20" i="3"/>
  <c r="F21" i="3"/>
  <c r="F22" i="3"/>
  <c r="F23" i="3"/>
</calcChain>
</file>

<file path=xl/sharedStrings.xml><?xml version="1.0" encoding="utf-8"?>
<sst xmlns="http://schemas.openxmlformats.org/spreadsheetml/2006/main" count="23" uniqueCount="10">
  <si>
    <t>U</t>
  </si>
  <si>
    <t>I</t>
  </si>
  <si>
    <t>U_заж</t>
  </si>
  <si>
    <t>5,167 мА</t>
  </si>
  <si>
    <t>28 В</t>
  </si>
  <si>
    <t>обратно</t>
  </si>
  <si>
    <t>3,048 мА</t>
  </si>
  <si>
    <t>28,1 В</t>
  </si>
  <si>
    <t>1,672 мА</t>
  </si>
  <si>
    <t>28,11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</si>
</sst>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Лист1!$F$2:$F$22</c:f>
              <c:numCache>
                <c:formatCode>General</c:formatCode>
                <c:ptCount val="21"/>
                <c:pt idx="0">
                  <c:v>26.164999999999999</c:v>
                </c:pt>
                <c:pt idx="1">
                  <c:v>26.164000000000001</c:v>
                </c:pt>
                <c:pt idx="2">
                  <c:v>26.155999999999999</c:v>
                </c:pt>
                <c:pt idx="3">
                  <c:v>26.12</c:v>
                </c:pt>
                <c:pt idx="4">
                  <c:v>26.08</c:v>
                </c:pt>
                <c:pt idx="5">
                  <c:v>26.04</c:v>
                </c:pt>
                <c:pt idx="6">
                  <c:v>26.01</c:v>
                </c:pt>
                <c:pt idx="7">
                  <c:v>25.93</c:v>
                </c:pt>
                <c:pt idx="8">
                  <c:v>25.9</c:v>
                </c:pt>
                <c:pt idx="9">
                  <c:v>25.87</c:v>
                </c:pt>
                <c:pt idx="10">
                  <c:v>25.83</c:v>
                </c:pt>
                <c:pt idx="11">
                  <c:v>25.81</c:v>
                </c:pt>
                <c:pt idx="12">
                  <c:v>25.78</c:v>
                </c:pt>
                <c:pt idx="13">
                  <c:v>25.76</c:v>
                </c:pt>
                <c:pt idx="14">
                  <c:v>25.75</c:v>
                </c:pt>
                <c:pt idx="15">
                  <c:v>25.82</c:v>
                </c:pt>
                <c:pt idx="16">
                  <c:v>25.95</c:v>
                </c:pt>
                <c:pt idx="17">
                  <c:v>26.18</c:v>
                </c:pt>
                <c:pt idx="18">
                  <c:v>26.33</c:v>
                </c:pt>
                <c:pt idx="19">
                  <c:v>26.18</c:v>
                </c:pt>
                <c:pt idx="20">
                  <c:v>25.98</c:v>
                </c:pt>
              </c:numCache>
            </c:numRef>
          </c:xVal>
          <c:yVal>
            <c:numRef>
              <c:f>Лист1!$G$2:$G$22</c:f>
              <c:numCache>
                <c:formatCode>General</c:formatCode>
                <c:ptCount val="21"/>
                <c:pt idx="0">
                  <c:v>5.609</c:v>
                </c:pt>
                <c:pt idx="1">
                  <c:v>5.2690000000000001</c:v>
                </c:pt>
                <c:pt idx="2">
                  <c:v>4.8179999999999996</c:v>
                </c:pt>
                <c:pt idx="3">
                  <c:v>4.556</c:v>
                </c:pt>
                <c:pt idx="4">
                  <c:v>3.9369999999999998</c:v>
                </c:pt>
                <c:pt idx="5">
                  <c:v>3.516</c:v>
                </c:pt>
                <c:pt idx="6">
                  <c:v>3.2010000000000001</c:v>
                </c:pt>
                <c:pt idx="7">
                  <c:v>2.6360000000000001</c:v>
                </c:pt>
                <c:pt idx="8">
                  <c:v>2.492</c:v>
                </c:pt>
                <c:pt idx="9">
                  <c:v>2.2559999999999998</c:v>
                </c:pt>
                <c:pt idx="10">
                  <c:v>2.0369999999999999</c:v>
                </c:pt>
                <c:pt idx="11">
                  <c:v>1.849</c:v>
                </c:pt>
                <c:pt idx="12">
                  <c:v>1.615</c:v>
                </c:pt>
                <c:pt idx="13">
                  <c:v>1.4419999999999999</c:v>
                </c:pt>
                <c:pt idx="14">
                  <c:v>1.2669999999999999</c:v>
                </c:pt>
                <c:pt idx="15">
                  <c:v>0.92400000000000004</c:v>
                </c:pt>
                <c:pt idx="16">
                  <c:v>0.76</c:v>
                </c:pt>
                <c:pt idx="17">
                  <c:v>0.64400000000000002</c:v>
                </c:pt>
                <c:pt idx="18">
                  <c:v>0.57399999999999995</c:v>
                </c:pt>
                <c:pt idx="19">
                  <c:v>0.40600000000000003</c:v>
                </c:pt>
                <c:pt idx="20">
                  <c:v>0.35099999999999998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EA-482F-A4AA-8ECD9AFAB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304624"/>
        <c:axId val="545305104"/>
      </c:scatterChart>
      <c:valAx>
        <c:axId val="54530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5305104"/>
        <c:crosses val="autoZero"/>
        <c:crossBetween val="midCat"/>
      </c:valAx>
      <c:valAx>
        <c:axId val="54530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530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Лист1!$C$2:$C$12</c:f>
              <c:numCache>
                <c:formatCode>General</c:formatCode>
                <c:ptCount val="11"/>
                <c:pt idx="0">
                  <c:v>25.934999999999999</c:v>
                </c:pt>
                <c:pt idx="1">
                  <c:v>25.88</c:v>
                </c:pt>
                <c:pt idx="2">
                  <c:v>25.89</c:v>
                </c:pt>
                <c:pt idx="3">
                  <c:v>25.96</c:v>
                </c:pt>
                <c:pt idx="4">
                  <c:v>26.01</c:v>
                </c:pt>
                <c:pt idx="5">
                  <c:v>26.04</c:v>
                </c:pt>
                <c:pt idx="6">
                  <c:v>26.06</c:v>
                </c:pt>
                <c:pt idx="7">
                  <c:v>26.07</c:v>
                </c:pt>
                <c:pt idx="8">
                  <c:v>26.07</c:v>
                </c:pt>
                <c:pt idx="9">
                  <c:v>26.08</c:v>
                </c:pt>
                <c:pt idx="10">
                  <c:v>26.08</c:v>
                </c:pt>
              </c:numCache>
            </c:numRef>
          </c:xVal>
          <c:yVal>
            <c:numRef>
              <c:f>Лист1!$D$2:$D$12</c:f>
              <c:numCache>
                <c:formatCode>General</c:formatCode>
                <c:ptCount val="11"/>
                <c:pt idx="0">
                  <c:v>0.91400000000000003</c:v>
                </c:pt>
                <c:pt idx="1">
                  <c:v>2.036</c:v>
                </c:pt>
                <c:pt idx="2">
                  <c:v>2.2519999999999998</c:v>
                </c:pt>
                <c:pt idx="3">
                  <c:v>2.7879999999999998</c:v>
                </c:pt>
                <c:pt idx="4">
                  <c:v>3.1859999999999999</c:v>
                </c:pt>
                <c:pt idx="5">
                  <c:v>3.427</c:v>
                </c:pt>
                <c:pt idx="6">
                  <c:v>3.8719999999999999</c:v>
                </c:pt>
                <c:pt idx="7">
                  <c:v>3.9780000000000002</c:v>
                </c:pt>
                <c:pt idx="8">
                  <c:v>4.2359999999999998</c:v>
                </c:pt>
                <c:pt idx="9">
                  <c:v>4.7510000000000003</c:v>
                </c:pt>
                <c:pt idx="10">
                  <c:v>5.0590000000000002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C3-4324-8A08-40ABBEFF3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387744"/>
        <c:axId val="1519405024"/>
      </c:scatterChart>
      <c:valAx>
        <c:axId val="151938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9405024"/>
        <c:crosses val="autoZero"/>
        <c:crossBetween val="midCat"/>
      </c:valAx>
      <c:valAx>
        <c:axId val="151940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938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Лист3!$Q$2:$Q$23</c:f>
              <c:numCache>
                <c:formatCode>General</c:formatCode>
                <c:ptCount val="22"/>
                <c:pt idx="0">
                  <c:v>24.808999999999997</c:v>
                </c:pt>
                <c:pt idx="1">
                  <c:v>21.869</c:v>
                </c:pt>
                <c:pt idx="2">
                  <c:v>18.747</c:v>
                </c:pt>
                <c:pt idx="3">
                  <c:v>15.725</c:v>
                </c:pt>
                <c:pt idx="4">
                  <c:v>12.884</c:v>
                </c:pt>
                <c:pt idx="5">
                  <c:v>9.7670000000000012</c:v>
                </c:pt>
                <c:pt idx="6">
                  <c:v>7.6030000000000006</c:v>
                </c:pt>
                <c:pt idx="7">
                  <c:v>5.7250000000000005</c:v>
                </c:pt>
                <c:pt idx="8">
                  <c:v>3.6750000000000003</c:v>
                </c:pt>
                <c:pt idx="9">
                  <c:v>1.722</c:v>
                </c:pt>
                <c:pt idx="10">
                  <c:v>0.15800000000000003</c:v>
                </c:pt>
                <c:pt idx="11">
                  <c:v>-0.84899999999999998</c:v>
                </c:pt>
                <c:pt idx="12">
                  <c:v>-2.3890000000000002</c:v>
                </c:pt>
                <c:pt idx="13">
                  <c:v>-4.3889999999999993</c:v>
                </c:pt>
                <c:pt idx="14">
                  <c:v>-6.4819999999999993</c:v>
                </c:pt>
                <c:pt idx="15">
                  <c:v>-8.3650000000000002</c:v>
                </c:pt>
                <c:pt idx="16">
                  <c:v>-10.243</c:v>
                </c:pt>
                <c:pt idx="17">
                  <c:v>-13.371</c:v>
                </c:pt>
                <c:pt idx="18">
                  <c:v>-16.364000000000001</c:v>
                </c:pt>
                <c:pt idx="19">
                  <c:v>-19.441000000000003</c:v>
                </c:pt>
                <c:pt idx="20">
                  <c:v>-22.437000000000001</c:v>
                </c:pt>
                <c:pt idx="21">
                  <c:v>-25.143000000000001</c:v>
                </c:pt>
              </c:numCache>
            </c:numRef>
          </c:xVal>
          <c:yVal>
            <c:numRef>
              <c:f>Лист3!$R$2:$R$23</c:f>
              <c:numCache>
                <c:formatCode>General</c:formatCode>
                <c:ptCount val="22"/>
                <c:pt idx="0">
                  <c:v>9.42</c:v>
                </c:pt>
                <c:pt idx="1">
                  <c:v>9.08</c:v>
                </c:pt>
                <c:pt idx="2">
                  <c:v>8.67</c:v>
                </c:pt>
                <c:pt idx="3">
                  <c:v>8.23</c:v>
                </c:pt>
                <c:pt idx="4">
                  <c:v>7.78</c:v>
                </c:pt>
                <c:pt idx="5">
                  <c:v>7.27</c:v>
                </c:pt>
                <c:pt idx="6">
                  <c:v>6.77</c:v>
                </c:pt>
                <c:pt idx="7">
                  <c:v>6.08</c:v>
                </c:pt>
                <c:pt idx="8">
                  <c:v>4.6900000000000004</c:v>
                </c:pt>
                <c:pt idx="9">
                  <c:v>2.46</c:v>
                </c:pt>
                <c:pt idx="10">
                  <c:v>0.12</c:v>
                </c:pt>
                <c:pt idx="11">
                  <c:v>-1.47</c:v>
                </c:pt>
                <c:pt idx="12">
                  <c:v>-3.73</c:v>
                </c:pt>
                <c:pt idx="13">
                  <c:v>-5.89</c:v>
                </c:pt>
                <c:pt idx="14">
                  <c:v>-7.21</c:v>
                </c:pt>
                <c:pt idx="15">
                  <c:v>-7.84</c:v>
                </c:pt>
                <c:pt idx="16">
                  <c:v>-8.2799999999999994</c:v>
                </c:pt>
                <c:pt idx="17">
                  <c:v>-8.86</c:v>
                </c:pt>
                <c:pt idx="18">
                  <c:v>-9.36</c:v>
                </c:pt>
                <c:pt idx="19">
                  <c:v>-9.84</c:v>
                </c:pt>
                <c:pt idx="20">
                  <c:v>-10.24</c:v>
                </c:pt>
                <c:pt idx="21">
                  <c:v>-10.62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B2-4A66-AAE5-9CABAD11096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Лист3!$K$2:$K$23</c:f>
              <c:numCache>
                <c:formatCode>General</c:formatCode>
                <c:ptCount val="22"/>
                <c:pt idx="0">
                  <c:v>24.663</c:v>
                </c:pt>
                <c:pt idx="1">
                  <c:v>21.686</c:v>
                </c:pt>
                <c:pt idx="2">
                  <c:v>18.704999999999998</c:v>
                </c:pt>
                <c:pt idx="3">
                  <c:v>15.702</c:v>
                </c:pt>
                <c:pt idx="4">
                  <c:v>12.72</c:v>
                </c:pt>
                <c:pt idx="5">
                  <c:v>9.7059999999999995</c:v>
                </c:pt>
                <c:pt idx="6">
                  <c:v>7.7859999999999996</c:v>
                </c:pt>
                <c:pt idx="7">
                  <c:v>5.665</c:v>
                </c:pt>
                <c:pt idx="8">
                  <c:v>3.7520000000000002</c:v>
                </c:pt>
                <c:pt idx="9">
                  <c:v>1.7279999999999998</c:v>
                </c:pt>
                <c:pt idx="10">
                  <c:v>0.22199999999999998</c:v>
                </c:pt>
                <c:pt idx="11">
                  <c:v>-0.86499999999999999</c:v>
                </c:pt>
                <c:pt idx="12">
                  <c:v>-2.39</c:v>
                </c:pt>
                <c:pt idx="13">
                  <c:v>-4.4390000000000001</c:v>
                </c:pt>
                <c:pt idx="14">
                  <c:v>-6.617</c:v>
                </c:pt>
                <c:pt idx="15">
                  <c:v>-8.4309999999999992</c:v>
                </c:pt>
                <c:pt idx="16">
                  <c:v>-10.635</c:v>
                </c:pt>
                <c:pt idx="17">
                  <c:v>-13.661</c:v>
                </c:pt>
                <c:pt idx="18">
                  <c:v>-16.248000000000001</c:v>
                </c:pt>
                <c:pt idx="19">
                  <c:v>-19.462</c:v>
                </c:pt>
                <c:pt idx="20">
                  <c:v>-22.264000000000003</c:v>
                </c:pt>
                <c:pt idx="21">
                  <c:v>-25.508000000000003</c:v>
                </c:pt>
              </c:numCache>
            </c:numRef>
          </c:xVal>
          <c:yVal>
            <c:numRef>
              <c:f>Лист3!$L$2:$L$23</c:f>
              <c:numCache>
                <c:formatCode>General</c:formatCode>
                <c:ptCount val="22"/>
                <c:pt idx="0">
                  <c:v>15.2</c:v>
                </c:pt>
                <c:pt idx="1">
                  <c:v>14.74</c:v>
                </c:pt>
                <c:pt idx="2">
                  <c:v>14.11</c:v>
                </c:pt>
                <c:pt idx="3">
                  <c:v>13.45</c:v>
                </c:pt>
                <c:pt idx="4">
                  <c:v>12.744999999999999</c:v>
                </c:pt>
                <c:pt idx="5">
                  <c:v>11.95</c:v>
                </c:pt>
                <c:pt idx="6">
                  <c:v>11.31</c:v>
                </c:pt>
                <c:pt idx="7">
                  <c:v>10.26</c:v>
                </c:pt>
                <c:pt idx="8">
                  <c:v>8.2899999999999991</c:v>
                </c:pt>
                <c:pt idx="9">
                  <c:v>4.49</c:v>
                </c:pt>
                <c:pt idx="10">
                  <c:v>0.51</c:v>
                </c:pt>
                <c:pt idx="11">
                  <c:v>-2.59</c:v>
                </c:pt>
                <c:pt idx="12">
                  <c:v>-6.54</c:v>
                </c:pt>
                <c:pt idx="13">
                  <c:v>-10.210000000000001</c:v>
                </c:pt>
                <c:pt idx="14">
                  <c:v>-12.18</c:v>
                </c:pt>
                <c:pt idx="15">
                  <c:v>-13.04</c:v>
                </c:pt>
                <c:pt idx="16">
                  <c:v>-13.78</c:v>
                </c:pt>
                <c:pt idx="17">
                  <c:v>-14.59</c:v>
                </c:pt>
                <c:pt idx="18">
                  <c:v>-15.27</c:v>
                </c:pt>
                <c:pt idx="19">
                  <c:v>-16.02</c:v>
                </c:pt>
                <c:pt idx="20">
                  <c:v>-16.61</c:v>
                </c:pt>
                <c:pt idx="21">
                  <c:v>-17.149999999999999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B2-4A66-AAE5-9CABAD11096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Лист3!$E$2:$E$23</c:f>
              <c:numCache>
                <c:formatCode>General</c:formatCode>
                <c:ptCount val="22"/>
                <c:pt idx="0">
                  <c:v>24.728999999999999</c:v>
                </c:pt>
                <c:pt idx="1">
                  <c:v>21.779</c:v>
                </c:pt>
                <c:pt idx="2">
                  <c:v>18.642999999999997</c:v>
                </c:pt>
                <c:pt idx="3">
                  <c:v>15.933999999999999</c:v>
                </c:pt>
                <c:pt idx="4">
                  <c:v>12.684000000000001</c:v>
                </c:pt>
                <c:pt idx="5">
                  <c:v>9.7420000000000009</c:v>
                </c:pt>
                <c:pt idx="6">
                  <c:v>7.6430000000000007</c:v>
                </c:pt>
                <c:pt idx="7">
                  <c:v>5.7520000000000007</c:v>
                </c:pt>
                <c:pt idx="8">
                  <c:v>3.7703000000000002</c:v>
                </c:pt>
                <c:pt idx="9">
                  <c:v>1.7380999999999998</c:v>
                </c:pt>
                <c:pt idx="10">
                  <c:v>0.13700000000000001</c:v>
                </c:pt>
                <c:pt idx="11">
                  <c:v>-0.84499999999999997</c:v>
                </c:pt>
                <c:pt idx="12">
                  <c:v>-2.411</c:v>
                </c:pt>
                <c:pt idx="13">
                  <c:v>-4.3979999999999997</c:v>
                </c:pt>
                <c:pt idx="14">
                  <c:v>-6.3199999999999994</c:v>
                </c:pt>
                <c:pt idx="15">
                  <c:v>-8.2829999999999995</c:v>
                </c:pt>
                <c:pt idx="16">
                  <c:v>-10.831</c:v>
                </c:pt>
                <c:pt idx="17">
                  <c:v>-13.311999999999999</c:v>
                </c:pt>
                <c:pt idx="18">
                  <c:v>-16.283000000000001</c:v>
                </c:pt>
                <c:pt idx="19">
                  <c:v>-19.586000000000002</c:v>
                </c:pt>
                <c:pt idx="20">
                  <c:v>-22.467000000000002</c:v>
                </c:pt>
                <c:pt idx="21">
                  <c:v>-25.494</c:v>
                </c:pt>
              </c:numCache>
            </c:numRef>
          </c:xVal>
          <c:yVal>
            <c:numRef>
              <c:f>Лист3!$F$2:$F$23</c:f>
              <c:numCache>
                <c:formatCode>General</c:formatCode>
                <c:ptCount val="22"/>
                <c:pt idx="0">
                  <c:v>24.03</c:v>
                </c:pt>
                <c:pt idx="1">
                  <c:v>23.11</c:v>
                </c:pt>
                <c:pt idx="2">
                  <c:v>22.09</c:v>
                </c:pt>
                <c:pt idx="3">
                  <c:v>21.19</c:v>
                </c:pt>
                <c:pt idx="4">
                  <c:v>20.05</c:v>
                </c:pt>
                <c:pt idx="5">
                  <c:v>18.93</c:v>
                </c:pt>
                <c:pt idx="6">
                  <c:v>17.95</c:v>
                </c:pt>
                <c:pt idx="7">
                  <c:v>16.68</c:v>
                </c:pt>
                <c:pt idx="8">
                  <c:v>14.15</c:v>
                </c:pt>
                <c:pt idx="9">
                  <c:v>8.2200000000000006</c:v>
                </c:pt>
                <c:pt idx="10">
                  <c:v>0.64</c:v>
                </c:pt>
                <c:pt idx="11">
                  <c:v>-4.42</c:v>
                </c:pt>
                <c:pt idx="12">
                  <c:v>-11.51</c:v>
                </c:pt>
                <c:pt idx="13">
                  <c:v>-16.91</c:v>
                </c:pt>
                <c:pt idx="14">
                  <c:v>-19.29</c:v>
                </c:pt>
                <c:pt idx="15">
                  <c:v>-20.57</c:v>
                </c:pt>
                <c:pt idx="16">
                  <c:v>-21.73</c:v>
                </c:pt>
                <c:pt idx="17">
                  <c:v>-22.77</c:v>
                </c:pt>
                <c:pt idx="18">
                  <c:v>-23.91</c:v>
                </c:pt>
                <c:pt idx="19">
                  <c:v>-25.06</c:v>
                </c:pt>
                <c:pt idx="20">
                  <c:v>-25.93</c:v>
                </c:pt>
                <c:pt idx="21">
                  <c:v>-26.83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B2-4A66-AAE5-9CABAD110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747744"/>
        <c:axId val="1483750624"/>
      </c:scatterChart>
      <c:valAx>
        <c:axId val="148374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3750624"/>
        <c:crosses val="autoZero"/>
        <c:crossBetween val="midCat"/>
      </c:valAx>
      <c:valAx>
        <c:axId val="148375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374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213360</xdr:colOff>
      <xdr:row>0</xdr:row>
      <xdr:rowOff>125730</xdr:rowOff>
    </xdr:from>
    <xdr:to>
      <xdr:col>18</xdr:col>
      <xdr:colOff>518160</xdr:colOff>
      <xdr:row>15</xdr:row>
      <xdr:rowOff>125730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7EA97DA-5A71-8F10-82A3-C9FE39652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220980</xdr:colOff>
      <xdr:row>16</xdr:row>
      <xdr:rowOff>34290</xdr:rowOff>
    </xdr:from>
    <xdr:to>
      <xdr:col>18</xdr:col>
      <xdr:colOff>525780</xdr:colOff>
      <xdr:row>31</xdr:row>
      <xdr:rowOff>34290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762C7DF-EC68-D19C-2556-796D91D92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388620</xdr:colOff>
      <xdr:row>25</xdr:row>
      <xdr:rowOff>7620</xdr:rowOff>
    </xdr:from>
    <xdr:to>
      <xdr:col>20</xdr:col>
      <xdr:colOff>160971</xdr:colOff>
      <xdr:row>50</xdr:row>
      <xdr:rowOff>30480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30B04D8-66A0-D85A-5CA7-4F9F1D4B3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5C63-A50C-4BD3-BA87-61AFC6AAC3F7}">
  <dimension ref="A1:G22"/>
  <sheetViews>
    <sheetView workbookViewId="0">
      <selection activeCell="F16" sqref="F16:G20"/>
    </sheetView>
  </sheetViews>
  <sheetFormatPr defaultRowHeight="14.4" x14ac:dyDescent="0.3"/>
  <sheetData>
    <row r="1" spans="1:7" x14ac:dyDescent="0.3">
      <c r="A1" t="s">
        <v>2</v>
      </c>
      <c r="C1" t="s">
        <v>0</v>
      </c>
      <c r="D1" t="s">
        <v>1</v>
      </c>
      <c r="F1" t="s">
        <v>0</v>
      </c>
      <c r="G1" t="s">
        <v>1</v>
      </c>
    </row>
    <row r="2" spans="1:7" x14ac:dyDescent="0.3">
      <c r="A2">
        <v>150</v>
      </c>
      <c r="C2">
        <v>25.934999999999999</v>
      </c>
      <c r="D2">
        <v>0.91400000000000003</v>
      </c>
      <c r="F2">
        <v>26.164999999999999</v>
      </c>
      <c r="G2">
        <v>5.609</v>
      </c>
    </row>
    <row r="3" spans="1:7" x14ac:dyDescent="0.3">
      <c r="C3">
        <v>25.88</v>
      </c>
      <c r="D3">
        <v>2.036</v>
      </c>
      <c r="F3">
        <v>26.164000000000001</v>
      </c>
      <c r="G3">
        <v>5.2690000000000001</v>
      </c>
    </row>
    <row r="4" spans="1:7" x14ac:dyDescent="0.3">
      <c r="C4">
        <v>25.89</v>
      </c>
      <c r="D4">
        <v>2.2519999999999998</v>
      </c>
      <c r="F4">
        <v>26.155999999999999</v>
      </c>
      <c r="G4">
        <v>4.8179999999999996</v>
      </c>
    </row>
    <row r="5" spans="1:7" x14ac:dyDescent="0.3">
      <c r="C5">
        <v>25.96</v>
      </c>
      <c r="D5">
        <v>2.7879999999999998</v>
      </c>
      <c r="F5">
        <v>26.12</v>
      </c>
      <c r="G5">
        <v>4.556</v>
      </c>
    </row>
    <row r="6" spans="1:7" x14ac:dyDescent="0.3">
      <c r="C6">
        <v>26.01</v>
      </c>
      <c r="D6">
        <v>3.1859999999999999</v>
      </c>
      <c r="F6">
        <v>26.08</v>
      </c>
      <c r="G6">
        <v>3.9369999999999998</v>
      </c>
    </row>
    <row r="7" spans="1:7" x14ac:dyDescent="0.3">
      <c r="C7">
        <v>26.04</v>
      </c>
      <c r="D7">
        <v>3.427</v>
      </c>
      <c r="F7">
        <v>26.04</v>
      </c>
      <c r="G7">
        <v>3.516</v>
      </c>
    </row>
    <row r="8" spans="1:7" x14ac:dyDescent="0.3">
      <c r="C8">
        <v>26.06</v>
      </c>
      <c r="D8">
        <v>3.8719999999999999</v>
      </c>
      <c r="F8">
        <v>26.01</v>
      </c>
      <c r="G8">
        <v>3.2010000000000001</v>
      </c>
    </row>
    <row r="9" spans="1:7" x14ac:dyDescent="0.3">
      <c r="C9">
        <v>26.07</v>
      </c>
      <c r="D9">
        <v>3.9780000000000002</v>
      </c>
      <c r="F9">
        <v>25.93</v>
      </c>
      <c r="G9">
        <v>2.6360000000000001</v>
      </c>
    </row>
    <row r="10" spans="1:7" x14ac:dyDescent="0.3">
      <c r="C10">
        <v>26.07</v>
      </c>
      <c r="D10">
        <v>4.2359999999999998</v>
      </c>
      <c r="F10">
        <v>25.9</v>
      </c>
      <c r="G10">
        <v>2.492</v>
      </c>
    </row>
    <row r="11" spans="1:7" x14ac:dyDescent="0.3">
      <c r="C11">
        <v>26.08</v>
      </c>
      <c r="D11">
        <v>4.7510000000000003</v>
      </c>
      <c r="F11">
        <v>25.87</v>
      </c>
      <c r="G11">
        <v>2.2559999999999998</v>
      </c>
    </row>
    <row r="12" spans="1:7" x14ac:dyDescent="0.3">
      <c r="C12">
        <v>26.08</v>
      </c>
      <c r="D12">
        <v>5.0590000000000002</v>
      </c>
      <c r="F12">
        <v>25.83</v>
      </c>
      <c r="G12">
        <v>2.0369999999999999</v>
      </c>
    </row>
    <row r="13" spans="1:7" x14ac:dyDescent="0.3">
      <c r="F13">
        <v>25.81</v>
      </c>
      <c r="G13">
        <v>1.849</v>
      </c>
    </row>
    <row r="14" spans="1:7" x14ac:dyDescent="0.3">
      <c r="F14">
        <v>25.78</v>
      </c>
      <c r="G14">
        <v>1.615</v>
      </c>
    </row>
    <row r="15" spans="1:7" x14ac:dyDescent="0.3">
      <c r="F15">
        <v>25.76</v>
      </c>
      <c r="G15">
        <v>1.4419999999999999</v>
      </c>
    </row>
    <row r="16" spans="1:7" x14ac:dyDescent="0.3">
      <c r="F16">
        <v>25.75</v>
      </c>
      <c r="G16">
        <v>1.2669999999999999</v>
      </c>
    </row>
    <row r="17" spans="6:7" x14ac:dyDescent="0.3">
      <c r="F17">
        <v>25.82</v>
      </c>
      <c r="G17">
        <v>0.92400000000000004</v>
      </c>
    </row>
    <row r="18" spans="6:7" x14ac:dyDescent="0.3">
      <c r="F18">
        <v>25.95</v>
      </c>
      <c r="G18">
        <v>0.76</v>
      </c>
    </row>
    <row r="19" spans="6:7" x14ac:dyDescent="0.3">
      <c r="F19">
        <v>26.18</v>
      </c>
      <c r="G19">
        <v>0.64400000000000002</v>
      </c>
    </row>
    <row r="20" spans="6:7" x14ac:dyDescent="0.3">
      <c r="F20">
        <v>26.33</v>
      </c>
      <c r="G20">
        <v>0.57399999999999995</v>
      </c>
    </row>
    <row r="21" spans="6:7" x14ac:dyDescent="0.3">
      <c r="F21">
        <v>26.18</v>
      </c>
      <c r="G21">
        <v>0.40600000000000003</v>
      </c>
    </row>
    <row r="22" spans="6:7" x14ac:dyDescent="0.3">
      <c r="F22">
        <v>25.98</v>
      </c>
      <c r="G22">
        <v>0.35099999999999998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36D93-A3C8-402A-AB37-D23EB2A323FD}">
  <dimension ref="A1:N23"/>
  <sheetViews>
    <sheetView workbookViewId="0">
      <selection activeCell="Q4" sqref="Q4"/>
    </sheetView>
  </sheetViews>
  <sheetFormatPr defaultRowHeight="14.4" x14ac:dyDescent="0.3"/>
  <sheetData>
    <row r="1" spans="1:14" x14ac:dyDescent="0.3">
      <c r="A1" t="s">
        <v>3</v>
      </c>
      <c r="C1" t="s">
        <v>0</v>
      </c>
      <c r="D1" t="s">
        <v>1</v>
      </c>
      <c r="F1" t="s">
        <v>6</v>
      </c>
      <c r="H1" t="s">
        <v>0</v>
      </c>
      <c r="I1" t="s">
        <v>1</v>
      </c>
      <c r="K1" t="s">
        <v>8</v>
      </c>
      <c r="M1" t="s">
        <v>0</v>
      </c>
      <c r="N1" t="s">
        <v>1</v>
      </c>
    </row>
    <row r="2" spans="1:14" x14ac:dyDescent="0.3">
      <c r="A2" t="s">
        <v>4</v>
      </c>
      <c r="C2">
        <v>25.079000000000001</v>
      </c>
      <c r="D2">
        <v>24.03</v>
      </c>
      <c r="F2" t="s">
        <v>7</v>
      </c>
      <c r="H2">
        <v>25.013000000000002</v>
      </c>
      <c r="I2">
        <v>15.2</v>
      </c>
      <c r="K2" t="s">
        <v>9</v>
      </c>
      <c r="M2">
        <v>25.158999999999999</v>
      </c>
      <c r="N2">
        <v>9.42</v>
      </c>
    </row>
    <row r="3" spans="1:14" x14ac:dyDescent="0.3">
      <c r="C3">
        <v>22.129000000000001</v>
      </c>
      <c r="D3">
        <v>23.11</v>
      </c>
      <c r="H3">
        <v>22.036000000000001</v>
      </c>
      <c r="I3">
        <v>14.74</v>
      </c>
      <c r="M3">
        <v>22.219000000000001</v>
      </c>
      <c r="N3">
        <v>9.08</v>
      </c>
    </row>
    <row r="4" spans="1:14" x14ac:dyDescent="0.3">
      <c r="C4">
        <v>18.992999999999999</v>
      </c>
      <c r="D4">
        <v>22.09</v>
      </c>
      <c r="H4">
        <v>19.055</v>
      </c>
      <c r="I4">
        <v>14.11</v>
      </c>
      <c r="M4">
        <v>19.097000000000001</v>
      </c>
      <c r="N4">
        <v>8.67</v>
      </c>
    </row>
    <row r="5" spans="1:14" x14ac:dyDescent="0.3">
      <c r="C5">
        <v>16.283999999999999</v>
      </c>
      <c r="D5">
        <v>21.19</v>
      </c>
      <c r="H5">
        <v>16.052</v>
      </c>
      <c r="I5">
        <v>13.45</v>
      </c>
      <c r="M5">
        <v>16.074999999999999</v>
      </c>
      <c r="N5">
        <v>8.23</v>
      </c>
    </row>
    <row r="6" spans="1:14" x14ac:dyDescent="0.3">
      <c r="C6">
        <v>13.034000000000001</v>
      </c>
      <c r="D6">
        <v>20.05</v>
      </c>
      <c r="H6">
        <v>13.07</v>
      </c>
      <c r="I6">
        <v>12.744999999999999</v>
      </c>
      <c r="M6">
        <v>13.234</v>
      </c>
      <c r="N6">
        <v>7.78</v>
      </c>
    </row>
    <row r="7" spans="1:14" x14ac:dyDescent="0.3">
      <c r="C7">
        <v>10.092000000000001</v>
      </c>
      <c r="D7">
        <v>18.93</v>
      </c>
      <c r="H7">
        <v>10.055999999999999</v>
      </c>
      <c r="I7">
        <v>11.95</v>
      </c>
      <c r="M7">
        <v>10.117000000000001</v>
      </c>
      <c r="N7">
        <v>7.27</v>
      </c>
    </row>
    <row r="8" spans="1:14" x14ac:dyDescent="0.3">
      <c r="C8">
        <v>7.9930000000000003</v>
      </c>
      <c r="D8">
        <v>17.95</v>
      </c>
      <c r="H8">
        <v>8.1359999999999992</v>
      </c>
      <c r="I8">
        <v>11.31</v>
      </c>
      <c r="M8">
        <v>7.9530000000000003</v>
      </c>
      <c r="N8">
        <v>6.77</v>
      </c>
    </row>
    <row r="9" spans="1:14" x14ac:dyDescent="0.3">
      <c r="C9">
        <v>6.1020000000000003</v>
      </c>
      <c r="D9">
        <v>16.68</v>
      </c>
      <c r="H9">
        <v>6.0149999999999997</v>
      </c>
      <c r="I9">
        <v>10.26</v>
      </c>
      <c r="M9">
        <v>6.0750000000000002</v>
      </c>
      <c r="N9">
        <v>6.08</v>
      </c>
    </row>
    <row r="10" spans="1:14" x14ac:dyDescent="0.3">
      <c r="C10">
        <v>4.1203000000000003</v>
      </c>
      <c r="D10">
        <v>14.15</v>
      </c>
      <c r="H10">
        <v>4.1020000000000003</v>
      </c>
      <c r="I10">
        <v>8.2899999999999991</v>
      </c>
      <c r="M10">
        <v>4.0250000000000004</v>
      </c>
      <c r="N10">
        <v>4.6900000000000004</v>
      </c>
    </row>
    <row r="11" spans="1:14" x14ac:dyDescent="0.3">
      <c r="C11">
        <v>2.0880999999999998</v>
      </c>
      <c r="D11">
        <v>8.2200000000000006</v>
      </c>
      <c r="H11">
        <v>2.0779999999999998</v>
      </c>
      <c r="I11">
        <v>4.49</v>
      </c>
      <c r="M11">
        <v>2.0720000000000001</v>
      </c>
      <c r="N11">
        <v>2.46</v>
      </c>
    </row>
    <row r="12" spans="1:14" x14ac:dyDescent="0.3">
      <c r="C12">
        <v>0.48699999999999999</v>
      </c>
      <c r="D12">
        <v>0.64</v>
      </c>
      <c r="H12">
        <v>0.57199999999999995</v>
      </c>
      <c r="I12">
        <v>0.51</v>
      </c>
      <c r="M12">
        <v>0.50800000000000001</v>
      </c>
      <c r="N12">
        <v>0.12</v>
      </c>
    </row>
    <row r="13" spans="1:14" x14ac:dyDescent="0.3">
      <c r="B13" t="s">
        <v>5</v>
      </c>
      <c r="C13">
        <v>25.143999999999998</v>
      </c>
      <c r="D13">
        <v>26.83</v>
      </c>
      <c r="G13" t="s">
        <v>5</v>
      </c>
      <c r="H13">
        <v>25.158000000000001</v>
      </c>
      <c r="I13">
        <v>17.149999999999999</v>
      </c>
      <c r="L13" t="s">
        <v>5</v>
      </c>
      <c r="M13">
        <v>25.143000000000001</v>
      </c>
      <c r="N13">
        <v>10.62</v>
      </c>
    </row>
    <row r="14" spans="1:14" x14ac:dyDescent="0.3">
      <c r="C14">
        <v>22.117000000000001</v>
      </c>
      <c r="D14">
        <v>25.93</v>
      </c>
      <c r="H14">
        <v>21.914000000000001</v>
      </c>
      <c r="I14">
        <v>16.61</v>
      </c>
      <c r="M14">
        <v>22.087</v>
      </c>
      <c r="N14">
        <v>10.24</v>
      </c>
    </row>
    <row r="15" spans="1:14" x14ac:dyDescent="0.3">
      <c r="C15">
        <v>19.236000000000001</v>
      </c>
      <c r="D15">
        <v>25.06</v>
      </c>
      <c r="H15">
        <v>19.111999999999998</v>
      </c>
      <c r="I15">
        <v>16.02</v>
      </c>
      <c r="M15">
        <v>19.091000000000001</v>
      </c>
      <c r="N15">
        <v>9.84</v>
      </c>
    </row>
    <row r="16" spans="1:14" x14ac:dyDescent="0.3">
      <c r="C16">
        <v>15.933</v>
      </c>
      <c r="D16">
        <v>23.91</v>
      </c>
      <c r="H16">
        <v>15.898</v>
      </c>
      <c r="I16">
        <v>15.27</v>
      </c>
      <c r="M16">
        <v>16.013999999999999</v>
      </c>
      <c r="N16">
        <v>9.36</v>
      </c>
    </row>
    <row r="17" spans="3:14" x14ac:dyDescent="0.3">
      <c r="C17">
        <v>12.962</v>
      </c>
      <c r="D17">
        <v>22.77</v>
      </c>
      <c r="H17">
        <v>13.311</v>
      </c>
      <c r="I17">
        <v>14.59</v>
      </c>
      <c r="M17">
        <v>13.021000000000001</v>
      </c>
      <c r="N17">
        <v>8.86</v>
      </c>
    </row>
    <row r="18" spans="3:14" x14ac:dyDescent="0.3">
      <c r="C18">
        <v>10.481</v>
      </c>
      <c r="D18">
        <v>21.73</v>
      </c>
      <c r="H18">
        <v>10.285</v>
      </c>
      <c r="I18">
        <v>13.78</v>
      </c>
      <c r="M18">
        <v>9.8930000000000007</v>
      </c>
      <c r="N18">
        <v>8.2799999999999994</v>
      </c>
    </row>
    <row r="19" spans="3:14" x14ac:dyDescent="0.3">
      <c r="C19">
        <v>7.9329999999999998</v>
      </c>
      <c r="D19">
        <v>20.57</v>
      </c>
      <c r="H19">
        <v>8.0809999999999995</v>
      </c>
      <c r="I19">
        <v>13.04</v>
      </c>
      <c r="M19">
        <v>8.0150000000000006</v>
      </c>
      <c r="N19">
        <v>7.84</v>
      </c>
    </row>
    <row r="20" spans="3:14" x14ac:dyDescent="0.3">
      <c r="C20">
        <v>5.97</v>
      </c>
      <c r="D20">
        <v>19.29</v>
      </c>
      <c r="H20">
        <v>6.2670000000000003</v>
      </c>
      <c r="I20">
        <v>12.18</v>
      </c>
      <c r="M20">
        <v>6.1319999999999997</v>
      </c>
      <c r="N20">
        <v>7.21</v>
      </c>
    </row>
    <row r="21" spans="3:14" x14ac:dyDescent="0.3">
      <c r="C21">
        <v>4.048</v>
      </c>
      <c r="D21">
        <v>16.91</v>
      </c>
      <c r="H21">
        <v>4.0890000000000004</v>
      </c>
      <c r="I21">
        <v>10.210000000000001</v>
      </c>
      <c r="M21">
        <v>4.0389999999999997</v>
      </c>
      <c r="N21">
        <v>5.89</v>
      </c>
    </row>
    <row r="22" spans="3:14" x14ac:dyDescent="0.3">
      <c r="C22">
        <v>2.0609999999999999</v>
      </c>
      <c r="D22">
        <v>11.51</v>
      </c>
      <c r="H22">
        <v>2.04</v>
      </c>
      <c r="I22">
        <v>6.54</v>
      </c>
      <c r="M22">
        <v>2.0390000000000001</v>
      </c>
      <c r="N22">
        <v>3.73</v>
      </c>
    </row>
    <row r="23" spans="3:14" x14ac:dyDescent="0.3">
      <c r="C23">
        <v>0.495</v>
      </c>
      <c r="D23">
        <v>4.42</v>
      </c>
      <c r="H23">
        <v>0.51500000000000001</v>
      </c>
      <c r="I23">
        <v>2.59</v>
      </c>
      <c r="M23">
        <v>0.499</v>
      </c>
      <c r="N23">
        <v>1.47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38B3-705A-49F5-8928-304E41F358F4}">
  <dimension ref="B1:R23"/>
  <sheetViews>
    <sheetView tabSelected="1" zoomScaleNormal="100" workbookViewId="0">
      <selection activeCell="Q2" sqref="Q2:R23"/>
    </sheetView>
  </sheetViews>
  <sheetFormatPr defaultRowHeight="14.4" x14ac:dyDescent="0.3"/>
  <sheetData>
    <row r="1" spans="2:18" x14ac:dyDescent="0.3">
      <c r="B1" t="s">
        <v>3</v>
      </c>
      <c r="H1" t="s">
        <v>6</v>
      </c>
      <c r="N1" t="s">
        <v>8</v>
      </c>
    </row>
    <row r="2" spans="2:18" x14ac:dyDescent="0.3">
      <c r="B2">
        <v>25.079000000000001</v>
      </c>
      <c r="C2">
        <v>24.03</v>
      </c>
      <c r="E2">
        <f>B2-0.35</f>
        <v>24.728999999999999</v>
      </c>
      <c r="F2">
        <v>24.03</v>
      </c>
      <c r="H2">
        <v>25.013000000000002</v>
      </c>
      <c r="I2">
        <v>15.2</v>
      </c>
      <c r="K2">
        <f>H2-0.35</f>
        <v>24.663</v>
      </c>
      <c r="L2">
        <v>15.2</v>
      </c>
      <c r="N2">
        <v>25.158999999999999</v>
      </c>
      <c r="O2">
        <v>9.42</v>
      </c>
      <c r="Q2">
        <f>N2-0.35</f>
        <v>24.808999999999997</v>
      </c>
      <c r="R2">
        <v>9.42</v>
      </c>
    </row>
    <row r="3" spans="2:18" x14ac:dyDescent="0.3">
      <c r="B3">
        <v>22.129000000000001</v>
      </c>
      <c r="C3">
        <v>23.11</v>
      </c>
      <c r="E3">
        <f t="shared" ref="E3:E12" si="0">B3-0.35</f>
        <v>21.779</v>
      </c>
      <c r="F3">
        <v>23.11</v>
      </c>
      <c r="H3">
        <v>22.036000000000001</v>
      </c>
      <c r="I3">
        <v>14.74</v>
      </c>
      <c r="K3">
        <f t="shared" ref="K3:K12" si="1">H3-0.35</f>
        <v>21.686</v>
      </c>
      <c r="L3">
        <v>14.74</v>
      </c>
      <c r="N3">
        <v>22.219000000000001</v>
      </c>
      <c r="O3">
        <v>9.08</v>
      </c>
      <c r="Q3">
        <f t="shared" ref="Q3:Q11" si="2">N3-0.35</f>
        <v>21.869</v>
      </c>
      <c r="R3">
        <v>9.08</v>
      </c>
    </row>
    <row r="4" spans="2:18" x14ac:dyDescent="0.3">
      <c r="B4">
        <v>18.992999999999999</v>
      </c>
      <c r="C4">
        <v>22.09</v>
      </c>
      <c r="E4">
        <f t="shared" si="0"/>
        <v>18.642999999999997</v>
      </c>
      <c r="F4">
        <v>22.09</v>
      </c>
      <c r="H4">
        <v>19.055</v>
      </c>
      <c r="I4">
        <v>14.11</v>
      </c>
      <c r="K4">
        <f t="shared" si="1"/>
        <v>18.704999999999998</v>
      </c>
      <c r="L4">
        <v>14.11</v>
      </c>
      <c r="N4">
        <v>19.097000000000001</v>
      </c>
      <c r="O4">
        <v>8.67</v>
      </c>
      <c r="Q4">
        <f t="shared" si="2"/>
        <v>18.747</v>
      </c>
      <c r="R4">
        <v>8.67</v>
      </c>
    </row>
    <row r="5" spans="2:18" x14ac:dyDescent="0.3">
      <c r="B5">
        <v>16.283999999999999</v>
      </c>
      <c r="C5">
        <v>21.19</v>
      </c>
      <c r="E5">
        <f t="shared" si="0"/>
        <v>15.933999999999999</v>
      </c>
      <c r="F5">
        <v>21.19</v>
      </c>
      <c r="H5">
        <v>16.052</v>
      </c>
      <c r="I5">
        <v>13.45</v>
      </c>
      <c r="K5">
        <f t="shared" si="1"/>
        <v>15.702</v>
      </c>
      <c r="L5">
        <v>13.45</v>
      </c>
      <c r="N5">
        <v>16.074999999999999</v>
      </c>
      <c r="O5">
        <v>8.23</v>
      </c>
      <c r="Q5">
        <f t="shared" si="2"/>
        <v>15.725</v>
      </c>
      <c r="R5">
        <v>8.23</v>
      </c>
    </row>
    <row r="6" spans="2:18" x14ac:dyDescent="0.3">
      <c r="B6">
        <v>13.034000000000001</v>
      </c>
      <c r="C6">
        <v>20.05</v>
      </c>
      <c r="E6">
        <f t="shared" si="0"/>
        <v>12.684000000000001</v>
      </c>
      <c r="F6">
        <v>20.05</v>
      </c>
      <c r="H6">
        <v>13.07</v>
      </c>
      <c r="I6">
        <v>12.744999999999999</v>
      </c>
      <c r="K6">
        <f t="shared" si="1"/>
        <v>12.72</v>
      </c>
      <c r="L6">
        <v>12.744999999999999</v>
      </c>
      <c r="N6">
        <v>13.234</v>
      </c>
      <c r="O6">
        <v>7.78</v>
      </c>
      <c r="Q6">
        <f t="shared" si="2"/>
        <v>12.884</v>
      </c>
      <c r="R6">
        <v>7.78</v>
      </c>
    </row>
    <row r="7" spans="2:18" x14ac:dyDescent="0.3">
      <c r="B7">
        <v>10.092000000000001</v>
      </c>
      <c r="C7">
        <v>18.93</v>
      </c>
      <c r="E7">
        <f t="shared" si="0"/>
        <v>9.7420000000000009</v>
      </c>
      <c r="F7">
        <v>18.93</v>
      </c>
      <c r="H7">
        <v>10.055999999999999</v>
      </c>
      <c r="I7">
        <v>11.95</v>
      </c>
      <c r="K7">
        <f t="shared" si="1"/>
        <v>9.7059999999999995</v>
      </c>
      <c r="L7">
        <v>11.95</v>
      </c>
      <c r="N7">
        <v>10.117000000000001</v>
      </c>
      <c r="O7">
        <v>7.27</v>
      </c>
      <c r="Q7">
        <f t="shared" si="2"/>
        <v>9.7670000000000012</v>
      </c>
      <c r="R7">
        <v>7.27</v>
      </c>
    </row>
    <row r="8" spans="2:18" x14ac:dyDescent="0.3">
      <c r="B8">
        <v>7.9930000000000003</v>
      </c>
      <c r="C8">
        <v>17.95</v>
      </c>
      <c r="E8">
        <f t="shared" si="0"/>
        <v>7.6430000000000007</v>
      </c>
      <c r="F8">
        <v>17.95</v>
      </c>
      <c r="H8">
        <v>8.1359999999999992</v>
      </c>
      <c r="I8">
        <v>11.31</v>
      </c>
      <c r="K8">
        <f t="shared" si="1"/>
        <v>7.7859999999999996</v>
      </c>
      <c r="L8">
        <v>11.31</v>
      </c>
      <c r="N8">
        <v>7.9530000000000003</v>
      </c>
      <c r="O8">
        <v>6.77</v>
      </c>
      <c r="Q8">
        <f t="shared" si="2"/>
        <v>7.6030000000000006</v>
      </c>
      <c r="R8">
        <v>6.77</v>
      </c>
    </row>
    <row r="9" spans="2:18" x14ac:dyDescent="0.3">
      <c r="B9">
        <v>6.1020000000000003</v>
      </c>
      <c r="C9">
        <v>16.68</v>
      </c>
      <c r="E9">
        <f t="shared" si="0"/>
        <v>5.7520000000000007</v>
      </c>
      <c r="F9">
        <v>16.68</v>
      </c>
      <c r="H9">
        <v>6.0149999999999997</v>
      </c>
      <c r="I9">
        <v>10.26</v>
      </c>
      <c r="K9">
        <f t="shared" si="1"/>
        <v>5.665</v>
      </c>
      <c r="L9">
        <v>10.26</v>
      </c>
      <c r="N9">
        <v>6.0750000000000002</v>
      </c>
      <c r="O9">
        <v>6.08</v>
      </c>
      <c r="Q9">
        <f t="shared" si="2"/>
        <v>5.7250000000000005</v>
      </c>
      <c r="R9">
        <v>6.08</v>
      </c>
    </row>
    <row r="10" spans="2:18" x14ac:dyDescent="0.3">
      <c r="B10">
        <v>4.1203000000000003</v>
      </c>
      <c r="C10">
        <v>14.15</v>
      </c>
      <c r="E10">
        <f t="shared" si="0"/>
        <v>3.7703000000000002</v>
      </c>
      <c r="F10">
        <v>14.15</v>
      </c>
      <c r="H10">
        <v>4.1020000000000003</v>
      </c>
      <c r="I10">
        <v>8.2899999999999991</v>
      </c>
      <c r="K10">
        <f t="shared" si="1"/>
        <v>3.7520000000000002</v>
      </c>
      <c r="L10">
        <v>8.2899999999999991</v>
      </c>
      <c r="N10">
        <v>4.0250000000000004</v>
      </c>
      <c r="O10">
        <v>4.6900000000000004</v>
      </c>
      <c r="Q10">
        <f t="shared" si="2"/>
        <v>3.6750000000000003</v>
      </c>
      <c r="R10">
        <v>4.6900000000000004</v>
      </c>
    </row>
    <row r="11" spans="2:18" x14ac:dyDescent="0.3">
      <c r="B11">
        <v>2.0880999999999998</v>
      </c>
      <c r="C11">
        <v>8.2200000000000006</v>
      </c>
      <c r="E11">
        <f t="shared" si="0"/>
        <v>1.7380999999999998</v>
      </c>
      <c r="F11">
        <v>8.2200000000000006</v>
      </c>
      <c r="H11">
        <v>2.0779999999999998</v>
      </c>
      <c r="I11">
        <v>4.49</v>
      </c>
      <c r="K11">
        <f t="shared" si="1"/>
        <v>1.7279999999999998</v>
      </c>
      <c r="L11">
        <v>4.49</v>
      </c>
      <c r="N11">
        <v>2.0720000000000001</v>
      </c>
      <c r="O11">
        <v>2.46</v>
      </c>
      <c r="Q11">
        <f t="shared" si="2"/>
        <v>1.722</v>
      </c>
      <c r="R11">
        <v>2.46</v>
      </c>
    </row>
    <row r="12" spans="2:18" x14ac:dyDescent="0.3">
      <c r="B12">
        <v>0.48699999999999999</v>
      </c>
      <c r="C12">
        <v>0.64</v>
      </c>
      <c r="E12">
        <f t="shared" si="0"/>
        <v>0.13700000000000001</v>
      </c>
      <c r="F12">
        <v>0.64</v>
      </c>
      <c r="H12">
        <v>0.57199999999999995</v>
      </c>
      <c r="I12">
        <v>0.51</v>
      </c>
      <c r="K12">
        <f t="shared" si="1"/>
        <v>0.22199999999999998</v>
      </c>
      <c r="L12">
        <v>0.51</v>
      </c>
      <c r="N12">
        <v>0.50800000000000001</v>
      </c>
      <c r="O12">
        <v>0.12</v>
      </c>
      <c r="Q12">
        <f>N12-0.35</f>
        <v>0.15800000000000003</v>
      </c>
      <c r="R12">
        <v>0.12</v>
      </c>
    </row>
    <row r="13" spans="2:18" x14ac:dyDescent="0.3">
      <c r="B13">
        <v>0.495</v>
      </c>
      <c r="C13">
        <v>4.42</v>
      </c>
      <c r="E13">
        <f>-B13-0.35</f>
        <v>-0.84499999999999997</v>
      </c>
      <c r="F13">
        <f>-C13</f>
        <v>-4.42</v>
      </c>
      <c r="H13">
        <v>0.51500000000000001</v>
      </c>
      <c r="I13">
        <v>2.59</v>
      </c>
      <c r="K13">
        <f>-H13-0.35</f>
        <v>-0.86499999999999999</v>
      </c>
      <c r="L13">
        <f>-I13</f>
        <v>-2.59</v>
      </c>
      <c r="N13">
        <v>0.499</v>
      </c>
      <c r="O13">
        <v>1.47</v>
      </c>
      <c r="Q13">
        <f>-N13-0.35</f>
        <v>-0.84899999999999998</v>
      </c>
      <c r="R13">
        <f>-O13</f>
        <v>-1.47</v>
      </c>
    </row>
    <row r="14" spans="2:18" x14ac:dyDescent="0.3">
      <c r="B14">
        <v>2.0609999999999999</v>
      </c>
      <c r="C14">
        <v>11.51</v>
      </c>
      <c r="E14">
        <f t="shared" ref="E14:E23" si="3">-B14-0.35</f>
        <v>-2.411</v>
      </c>
      <c r="F14">
        <f t="shared" ref="E14:F23" si="4">-C14</f>
        <v>-11.51</v>
      </c>
      <c r="H14">
        <v>2.04</v>
      </c>
      <c r="I14">
        <v>6.54</v>
      </c>
      <c r="K14">
        <f t="shared" ref="K14:K23" si="5">-H14-0.35</f>
        <v>-2.39</v>
      </c>
      <c r="L14">
        <f t="shared" ref="K14:L23" si="6">-I14</f>
        <v>-6.54</v>
      </c>
      <c r="N14">
        <v>2.0390000000000001</v>
      </c>
      <c r="O14">
        <v>3.73</v>
      </c>
      <c r="Q14">
        <f t="shared" ref="Q14:Q22" si="7">-N14-0.35</f>
        <v>-2.3890000000000002</v>
      </c>
      <c r="R14">
        <f t="shared" ref="Q14:R23" si="8">-O14</f>
        <v>-3.73</v>
      </c>
    </row>
    <row r="15" spans="2:18" x14ac:dyDescent="0.3">
      <c r="B15">
        <v>4.048</v>
      </c>
      <c r="C15">
        <v>16.91</v>
      </c>
      <c r="E15">
        <f t="shared" si="3"/>
        <v>-4.3979999999999997</v>
      </c>
      <c r="F15">
        <f t="shared" si="4"/>
        <v>-16.91</v>
      </c>
      <c r="H15">
        <v>4.0890000000000004</v>
      </c>
      <c r="I15">
        <v>10.210000000000001</v>
      </c>
      <c r="K15">
        <f t="shared" si="5"/>
        <v>-4.4390000000000001</v>
      </c>
      <c r="L15">
        <f t="shared" si="6"/>
        <v>-10.210000000000001</v>
      </c>
      <c r="N15">
        <v>4.0389999999999997</v>
      </c>
      <c r="O15">
        <v>5.89</v>
      </c>
      <c r="Q15">
        <f t="shared" si="7"/>
        <v>-4.3889999999999993</v>
      </c>
      <c r="R15">
        <f t="shared" si="8"/>
        <v>-5.89</v>
      </c>
    </row>
    <row r="16" spans="2:18" x14ac:dyDescent="0.3">
      <c r="B16">
        <v>5.97</v>
      </c>
      <c r="C16">
        <v>19.29</v>
      </c>
      <c r="E16">
        <f t="shared" si="3"/>
        <v>-6.3199999999999994</v>
      </c>
      <c r="F16">
        <f t="shared" si="4"/>
        <v>-19.29</v>
      </c>
      <c r="H16">
        <v>6.2670000000000003</v>
      </c>
      <c r="I16">
        <v>12.18</v>
      </c>
      <c r="K16">
        <f t="shared" si="5"/>
        <v>-6.617</v>
      </c>
      <c r="L16">
        <f t="shared" si="6"/>
        <v>-12.18</v>
      </c>
      <c r="N16">
        <v>6.1319999999999997</v>
      </c>
      <c r="O16">
        <v>7.21</v>
      </c>
      <c r="Q16">
        <f t="shared" si="7"/>
        <v>-6.4819999999999993</v>
      </c>
      <c r="R16">
        <f t="shared" si="8"/>
        <v>-7.21</v>
      </c>
    </row>
    <row r="17" spans="2:18" x14ac:dyDescent="0.3">
      <c r="B17">
        <v>7.9329999999999998</v>
      </c>
      <c r="C17">
        <v>20.57</v>
      </c>
      <c r="E17">
        <f t="shared" si="3"/>
        <v>-8.2829999999999995</v>
      </c>
      <c r="F17">
        <f t="shared" si="4"/>
        <v>-20.57</v>
      </c>
      <c r="H17">
        <v>8.0809999999999995</v>
      </c>
      <c r="I17">
        <v>13.04</v>
      </c>
      <c r="K17">
        <f t="shared" si="5"/>
        <v>-8.4309999999999992</v>
      </c>
      <c r="L17">
        <f t="shared" si="6"/>
        <v>-13.04</v>
      </c>
      <c r="N17">
        <v>8.0150000000000006</v>
      </c>
      <c r="O17">
        <v>7.84</v>
      </c>
      <c r="Q17">
        <f t="shared" si="7"/>
        <v>-8.3650000000000002</v>
      </c>
      <c r="R17">
        <f t="shared" si="8"/>
        <v>-7.84</v>
      </c>
    </row>
    <row r="18" spans="2:18" x14ac:dyDescent="0.3">
      <c r="B18">
        <v>10.481</v>
      </c>
      <c r="C18">
        <v>21.73</v>
      </c>
      <c r="E18">
        <f t="shared" si="3"/>
        <v>-10.831</v>
      </c>
      <c r="F18">
        <f t="shared" si="4"/>
        <v>-21.73</v>
      </c>
      <c r="H18">
        <v>10.285</v>
      </c>
      <c r="I18">
        <v>13.78</v>
      </c>
      <c r="K18">
        <f t="shared" si="5"/>
        <v>-10.635</v>
      </c>
      <c r="L18">
        <f t="shared" si="6"/>
        <v>-13.78</v>
      </c>
      <c r="N18">
        <v>9.8930000000000007</v>
      </c>
      <c r="O18">
        <v>8.2799999999999994</v>
      </c>
      <c r="Q18">
        <f t="shared" si="7"/>
        <v>-10.243</v>
      </c>
      <c r="R18">
        <f t="shared" si="8"/>
        <v>-8.2799999999999994</v>
      </c>
    </row>
    <row r="19" spans="2:18" x14ac:dyDescent="0.3">
      <c r="B19">
        <v>12.962</v>
      </c>
      <c r="C19">
        <v>22.77</v>
      </c>
      <c r="E19">
        <f t="shared" si="3"/>
        <v>-13.311999999999999</v>
      </c>
      <c r="F19">
        <f t="shared" si="4"/>
        <v>-22.77</v>
      </c>
      <c r="H19">
        <v>13.311</v>
      </c>
      <c r="I19">
        <v>14.59</v>
      </c>
      <c r="K19">
        <f t="shared" si="5"/>
        <v>-13.661</v>
      </c>
      <c r="L19">
        <f t="shared" si="6"/>
        <v>-14.59</v>
      </c>
      <c r="N19">
        <v>13.021000000000001</v>
      </c>
      <c r="O19">
        <v>8.86</v>
      </c>
      <c r="Q19">
        <f t="shared" si="7"/>
        <v>-13.371</v>
      </c>
      <c r="R19">
        <f t="shared" si="8"/>
        <v>-8.86</v>
      </c>
    </row>
    <row r="20" spans="2:18" x14ac:dyDescent="0.3">
      <c r="B20">
        <v>15.933</v>
      </c>
      <c r="C20">
        <v>23.91</v>
      </c>
      <c r="E20">
        <f t="shared" si="3"/>
        <v>-16.283000000000001</v>
      </c>
      <c r="F20">
        <f t="shared" si="4"/>
        <v>-23.91</v>
      </c>
      <c r="H20">
        <v>15.898</v>
      </c>
      <c r="I20">
        <v>15.27</v>
      </c>
      <c r="K20">
        <f t="shared" si="5"/>
        <v>-16.248000000000001</v>
      </c>
      <c r="L20">
        <f t="shared" si="6"/>
        <v>-15.27</v>
      </c>
      <c r="N20">
        <v>16.013999999999999</v>
      </c>
      <c r="O20">
        <v>9.36</v>
      </c>
      <c r="Q20">
        <f t="shared" si="7"/>
        <v>-16.364000000000001</v>
      </c>
      <c r="R20">
        <f t="shared" si="8"/>
        <v>-9.36</v>
      </c>
    </row>
    <row r="21" spans="2:18" x14ac:dyDescent="0.3">
      <c r="B21">
        <v>19.236000000000001</v>
      </c>
      <c r="C21">
        <v>25.06</v>
      </c>
      <c r="E21">
        <f t="shared" si="3"/>
        <v>-19.586000000000002</v>
      </c>
      <c r="F21">
        <f t="shared" si="4"/>
        <v>-25.06</v>
      </c>
      <c r="H21">
        <v>19.111999999999998</v>
      </c>
      <c r="I21">
        <v>16.02</v>
      </c>
      <c r="K21">
        <f t="shared" si="5"/>
        <v>-19.462</v>
      </c>
      <c r="L21">
        <f t="shared" si="6"/>
        <v>-16.02</v>
      </c>
      <c r="N21">
        <v>19.091000000000001</v>
      </c>
      <c r="O21">
        <v>9.84</v>
      </c>
      <c r="Q21">
        <f t="shared" si="7"/>
        <v>-19.441000000000003</v>
      </c>
      <c r="R21">
        <f t="shared" si="8"/>
        <v>-9.84</v>
      </c>
    </row>
    <row r="22" spans="2:18" x14ac:dyDescent="0.3">
      <c r="B22">
        <v>22.117000000000001</v>
      </c>
      <c r="C22">
        <v>25.93</v>
      </c>
      <c r="E22">
        <f t="shared" si="3"/>
        <v>-22.467000000000002</v>
      </c>
      <c r="F22">
        <f t="shared" si="4"/>
        <v>-25.93</v>
      </c>
      <c r="H22">
        <v>21.914000000000001</v>
      </c>
      <c r="I22">
        <v>16.61</v>
      </c>
      <c r="K22">
        <f t="shared" si="5"/>
        <v>-22.264000000000003</v>
      </c>
      <c r="L22">
        <f t="shared" si="6"/>
        <v>-16.61</v>
      </c>
      <c r="N22">
        <v>22.087</v>
      </c>
      <c r="O22">
        <v>10.24</v>
      </c>
      <c r="Q22">
        <f t="shared" si="7"/>
        <v>-22.437000000000001</v>
      </c>
      <c r="R22">
        <f t="shared" si="8"/>
        <v>-10.24</v>
      </c>
    </row>
    <row r="23" spans="2:18" x14ac:dyDescent="0.3">
      <c r="B23">
        <v>25.143999999999998</v>
      </c>
      <c r="C23">
        <v>26.83</v>
      </c>
      <c r="E23">
        <f t="shared" si="3"/>
        <v>-25.494</v>
      </c>
      <c r="F23">
        <f t="shared" si="4"/>
        <v>-26.83</v>
      </c>
      <c r="H23">
        <v>25.158000000000001</v>
      </c>
      <c r="I23">
        <v>17.149999999999999</v>
      </c>
      <c r="K23">
        <f t="shared" si="5"/>
        <v>-25.508000000000003</v>
      </c>
      <c r="L23">
        <f t="shared" si="6"/>
        <v>-17.149999999999999</v>
      </c>
      <c r="N23">
        <v>25.143000000000001</v>
      </c>
      <c r="O23">
        <v>10.62</v>
      </c>
      <c r="Q23">
        <f t="shared" si="8"/>
        <v>-25.143000000000001</v>
      </c>
      <c r="R23">
        <f t="shared" si="8"/>
        <v>-10.62</v>
      </c>
    </row>
  </sheetData>
  <sortState xmlns:xlrd2="http://schemas.microsoft.com/office/spreadsheetml/2017/richdata2" ref="N13:O23">
    <sortCondition ref="N13:N23"/>
  </sortState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2025-11-11T06:00:17Z</dcterms:created>
  <dcterms:modified xsi:type="dcterms:W3CDTF">2025-11-12T22:06:35Z</dcterms:modified>
</cp:coreProperties>
</file>