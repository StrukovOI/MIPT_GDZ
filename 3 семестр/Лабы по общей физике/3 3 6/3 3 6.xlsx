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3 семестр\3 3 4 и 3 3 6\3 3 6\"/>
    </mc:Choice>
  </mc:AlternateContent>
  <xr:revisionPtr revIDLastSave="0" documentId="13_ncr:1_{EF36BDE1-1B08-4FAB-A639-9497055FF1B4}" xr6:coauthVersionLast="47" xr6:coauthVersionMax="47" xr10:uidLastSave="{00000000-0000-0000-0000-000000000000}"/>
  <bookViews>
    <workbookView xWindow="-108" yWindow="-108" windowWidth="23256" windowHeight="13896" xr2:uid="{D4534964-7DDA-4E24-B0E4-FE0BB0F5E06C}"/>
  </bookViews>
  <sheets>
    <sheet name="Магнит" sheetId="1" r:id="rId1"/>
    <sheet name="Диск" sheetId="2" r:id="rId2"/>
    <sheet name="Вдоль" sheetId="3" r:id="rId3"/>
    <sheet name="Поперёк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4" i="3"/>
  <c r="G5" i="3"/>
  <c r="G6" i="3"/>
  <c r="G7" i="3"/>
  <c r="G8" i="3"/>
  <c r="H3" i="2"/>
  <c r="H4" i="2"/>
  <c r="H5" i="2"/>
  <c r="H6" i="2"/>
  <c r="H7" i="2"/>
  <c r="H8" i="2"/>
  <c r="H2" i="2"/>
  <c r="F3" i="2"/>
  <c r="F4" i="2"/>
  <c r="F5" i="2"/>
  <c r="F6" i="2"/>
  <c r="F7" i="2"/>
  <c r="F8" i="2"/>
  <c r="F2" i="2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  <c r="G2" i="4" s="1"/>
  <c r="F3" i="3"/>
  <c r="F4" i="3"/>
  <c r="F5" i="3"/>
  <c r="F6" i="3"/>
  <c r="F7" i="3"/>
  <c r="F8" i="3"/>
  <c r="F2" i="3"/>
  <c r="E3" i="3"/>
  <c r="G3" i="3" s="1"/>
  <c r="E4" i="3"/>
  <c r="E5" i="3"/>
  <c r="E6" i="3"/>
  <c r="E7" i="3"/>
  <c r="E8" i="3"/>
  <c r="E2" i="3"/>
  <c r="G2" i="3" s="1"/>
  <c r="G2" i="2"/>
  <c r="G3" i="2"/>
  <c r="G4" i="2"/>
  <c r="G5" i="2"/>
  <c r="G6" i="2"/>
  <c r="G7" i="2"/>
  <c r="G8" i="2"/>
  <c r="C9" i="1"/>
  <c r="D2" i="1"/>
  <c r="B2" i="1"/>
</calcChain>
</file>

<file path=xl/sharedStrings.xml><?xml version="1.0" encoding="utf-8"?>
<sst xmlns="http://schemas.openxmlformats.org/spreadsheetml/2006/main" count="33" uniqueCount="15">
  <si>
    <t>I, A</t>
  </si>
  <si>
    <t>B, mT</t>
  </si>
  <si>
    <t>Падение U без поля</t>
  </si>
  <si>
    <t>0,862 мВ</t>
  </si>
  <si>
    <t>U, mV</t>
  </si>
  <si>
    <t>Пластинка</t>
  </si>
  <si>
    <t>1,762 мВ</t>
  </si>
  <si>
    <t>Вдоль</t>
  </si>
  <si>
    <t>Поперёк</t>
  </si>
  <si>
    <t>B^2, mTl^2</t>
  </si>
  <si>
    <t>R, Om</t>
  </si>
  <si>
    <t>U-U_0</t>
  </si>
  <si>
    <t>Падение U без поля, mV</t>
  </si>
  <si>
    <t>B^2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</si>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</sst>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Магнит!$C$2:$C$8</c:f>
              <c:numCache>
                <c:formatCode>General</c:formatCode>
                <c:ptCount val="7"/>
                <c:pt idx="0">
                  <c:v>0</c:v>
                </c:pt>
                <c:pt idx="1">
                  <c:v>0.08</c:v>
                </c:pt>
                <c:pt idx="2">
                  <c:v>0.11</c:v>
                </c:pt>
                <c:pt idx="3">
                  <c:v>0.16</c:v>
                </c:pt>
                <c:pt idx="4">
                  <c:v>0.23</c:v>
                </c:pt>
                <c:pt idx="5">
                  <c:v>0.28999999999999998</c:v>
                </c:pt>
                <c:pt idx="6">
                  <c:v>0.38</c:v>
                </c:pt>
              </c:numCache>
            </c:numRef>
          </c:xVal>
          <c:yVal>
            <c:numRef>
              <c:f>Магнит!$D$2:$D$8</c:f>
              <c:numCache>
                <c:formatCode>General</c:formatCode>
                <c:ptCount val="7"/>
                <c:pt idx="0">
                  <c:v>11.5</c:v>
                </c:pt>
                <c:pt idx="1">
                  <c:v>120.3</c:v>
                </c:pt>
                <c:pt idx="2">
                  <c:v>151.80000000000001</c:v>
                </c:pt>
                <c:pt idx="3">
                  <c:v>222.4</c:v>
                </c:pt>
                <c:pt idx="4">
                  <c:v>288</c:v>
                </c:pt>
                <c:pt idx="5">
                  <c:v>340</c:v>
                </c:pt>
                <c:pt idx="6">
                  <c:v>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92-4A8B-92C4-6CFC9D8A1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333311"/>
        <c:axId val="1372339071"/>
      </c:scatterChart>
      <c:valAx>
        <c:axId val="137233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2339071"/>
        <c:crosses val="autoZero"/>
        <c:crossBetween val="midCat"/>
      </c:valAx>
      <c:valAx>
        <c:axId val="137233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233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Магнит!$I$2:$I$8</c:f>
              <c:numCache>
                <c:formatCode>General</c:formatCode>
                <c:ptCount val="7"/>
                <c:pt idx="0">
                  <c:v>0.14000000000000001</c:v>
                </c:pt>
                <c:pt idx="1">
                  <c:v>0.04</c:v>
                </c:pt>
                <c:pt idx="2">
                  <c:v>0.28999999999999998</c:v>
                </c:pt>
                <c:pt idx="3">
                  <c:v>0.36</c:v>
                </c:pt>
                <c:pt idx="4">
                  <c:v>0.39</c:v>
                </c:pt>
                <c:pt idx="5">
                  <c:v>0.28000000000000003</c:v>
                </c:pt>
                <c:pt idx="6">
                  <c:v>0.2</c:v>
                </c:pt>
              </c:numCache>
            </c:numRef>
          </c:xVal>
          <c:yVal>
            <c:numRef>
              <c:f>Магнит!$J$2:$J$8</c:f>
              <c:numCache>
                <c:formatCode>General</c:formatCode>
                <c:ptCount val="7"/>
                <c:pt idx="0">
                  <c:v>1.8240000000000001</c:v>
                </c:pt>
                <c:pt idx="1">
                  <c:v>0.93700000000000006</c:v>
                </c:pt>
                <c:pt idx="2">
                  <c:v>3.3809999999999998</c:v>
                </c:pt>
                <c:pt idx="3">
                  <c:v>3.7240000000000002</c:v>
                </c:pt>
                <c:pt idx="4">
                  <c:v>3.86</c:v>
                </c:pt>
                <c:pt idx="5">
                  <c:v>3.3860000000000001</c:v>
                </c:pt>
                <c:pt idx="6">
                  <c:v>2.4980000000000002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A-4274-A8BF-DBF663502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453359"/>
        <c:axId val="1750451919"/>
      </c:scatterChart>
      <c:valAx>
        <c:axId val="175045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0451919"/>
        <c:crosses val="autoZero"/>
        <c:crossBetween val="midCat"/>
      </c:valAx>
      <c:valAx>
        <c:axId val="175045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045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Магнит!$Q$3:$Q$9</c:f>
              <c:numCache>
                <c:formatCode>General</c:formatCode>
                <c:ptCount val="7"/>
                <c:pt idx="0">
                  <c:v>0.2</c:v>
                </c:pt>
                <c:pt idx="1">
                  <c:v>0.39</c:v>
                </c:pt>
                <c:pt idx="2">
                  <c:v>0.18</c:v>
                </c:pt>
                <c:pt idx="3">
                  <c:v>0.03</c:v>
                </c:pt>
                <c:pt idx="4">
                  <c:v>7.0000000000000007E-2</c:v>
                </c:pt>
                <c:pt idx="5">
                  <c:v>0.11</c:v>
                </c:pt>
                <c:pt idx="6">
                  <c:v>0.17</c:v>
                </c:pt>
              </c:numCache>
            </c:numRef>
          </c:xVal>
          <c:yVal>
            <c:numRef>
              <c:f>Магнит!$R$3:$R$9</c:f>
              <c:numCache>
                <c:formatCode>General</c:formatCode>
                <c:ptCount val="7"/>
                <c:pt idx="0">
                  <c:v>2.0230000000000001</c:v>
                </c:pt>
                <c:pt idx="1">
                  <c:v>2.1829999999999998</c:v>
                </c:pt>
                <c:pt idx="2">
                  <c:v>1.99</c:v>
                </c:pt>
                <c:pt idx="3">
                  <c:v>1.7709999999999999</c:v>
                </c:pt>
                <c:pt idx="4">
                  <c:v>1.8109999999999999</c:v>
                </c:pt>
                <c:pt idx="5">
                  <c:v>1.8640000000000001</c:v>
                </c:pt>
                <c:pt idx="6">
                  <c:v>1.9790000000000001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5-4B2E-BF4C-80E74C00F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185023"/>
        <c:axId val="1858147487"/>
      </c:scatterChart>
      <c:valAx>
        <c:axId val="181518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8147487"/>
        <c:crosses val="autoZero"/>
        <c:crossBetween val="midCat"/>
      </c:valAx>
      <c:valAx>
        <c:axId val="185814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18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Магнит!$T$3:$T$9</c:f>
              <c:numCache>
                <c:formatCode>General</c:formatCode>
                <c:ptCount val="7"/>
                <c:pt idx="0">
                  <c:v>0.17</c:v>
                </c:pt>
                <c:pt idx="1">
                  <c:v>0.28999999999999998</c:v>
                </c:pt>
                <c:pt idx="2">
                  <c:v>0.19</c:v>
                </c:pt>
                <c:pt idx="3">
                  <c:v>0.04</c:v>
                </c:pt>
                <c:pt idx="4">
                  <c:v>7.0000000000000007E-2</c:v>
                </c:pt>
                <c:pt idx="5">
                  <c:v>0.37</c:v>
                </c:pt>
                <c:pt idx="6">
                  <c:v>0.33</c:v>
                </c:pt>
              </c:numCache>
            </c:numRef>
          </c:xVal>
          <c:yVal>
            <c:numRef>
              <c:f>Магнит!$U$3:$U$9</c:f>
              <c:numCache>
                <c:formatCode>General</c:formatCode>
                <c:ptCount val="7"/>
                <c:pt idx="0">
                  <c:v>2.0880000000000001</c:v>
                </c:pt>
                <c:pt idx="1">
                  <c:v>2.3290000000000002</c:v>
                </c:pt>
                <c:pt idx="2">
                  <c:v>2.1320000000000001</c:v>
                </c:pt>
                <c:pt idx="3">
                  <c:v>1.794</c:v>
                </c:pt>
                <c:pt idx="4">
                  <c:v>1.853</c:v>
                </c:pt>
                <c:pt idx="5">
                  <c:v>2.4</c:v>
                </c:pt>
                <c:pt idx="6">
                  <c:v>2.375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76-4A78-8382-9015B2E93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419503"/>
        <c:axId val="1363420463"/>
      </c:scatterChart>
      <c:valAx>
        <c:axId val="136341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3420463"/>
        <c:crosses val="autoZero"/>
        <c:crossBetween val="midCat"/>
      </c:valAx>
      <c:valAx>
        <c:axId val="136342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341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Диск!$G$2:$G$8</c:f>
              <c:numCache>
                <c:formatCode>General</c:formatCode>
                <c:ptCount val="7"/>
                <c:pt idx="0">
                  <c:v>39173.909776000015</c:v>
                </c:pt>
                <c:pt idx="1">
                  <c:v>5041.5680160000011</c:v>
                </c:pt>
                <c:pt idx="2">
                  <c:v>108770.67841599998</c:v>
                </c:pt>
                <c:pt idx="3">
                  <c:v>134926.92097600002</c:v>
                </c:pt>
                <c:pt idx="4">
                  <c:v>143431.86817599999</c:v>
                </c:pt>
                <c:pt idx="5">
                  <c:v>104455.65441600002</c:v>
                </c:pt>
                <c:pt idx="6">
                  <c:v>67132.809999999983</c:v>
                </c:pt>
              </c:numCache>
            </c:numRef>
          </c:xVal>
          <c:yVal>
            <c:numRef>
              <c:f>Диск!$H$2:$H$8</c:f>
              <c:numCache>
                <c:formatCode>General</c:formatCode>
                <c:ptCount val="7"/>
                <c:pt idx="0">
                  <c:v>4.4640371229698383E-2</c:v>
                </c:pt>
                <c:pt idx="1">
                  <c:v>3.4802784222737848E-3</c:v>
                </c:pt>
                <c:pt idx="2">
                  <c:v>0.11689095127610206</c:v>
                </c:pt>
                <c:pt idx="3">
                  <c:v>0.13280742459396752</c:v>
                </c:pt>
                <c:pt idx="4">
                  <c:v>0.1391183294663573</c:v>
                </c:pt>
                <c:pt idx="5">
                  <c:v>0.11712296983758702</c:v>
                </c:pt>
                <c:pt idx="6">
                  <c:v>7.5916473317865427E-2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B-4282-805D-1A4D68243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711583"/>
        <c:axId val="1870712063"/>
      </c:scatterChart>
      <c:valAx>
        <c:axId val="187071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0712063"/>
        <c:crosses val="autoZero"/>
        <c:crossBetween val="midCat"/>
      </c:valAx>
      <c:valAx>
        <c:axId val="187071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071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Вдоль!$F$2:$F$8</c:f>
              <c:numCache>
                <c:formatCode>General</c:formatCode>
                <c:ptCount val="7"/>
                <c:pt idx="0">
                  <c:v>67132.809999999983</c:v>
                </c:pt>
                <c:pt idx="1">
                  <c:v>143431.86817599999</c:v>
                </c:pt>
                <c:pt idx="2">
                  <c:v>57578.881936000005</c:v>
                </c:pt>
                <c:pt idx="3">
                  <c:v>3203.1072160000003</c:v>
                </c:pt>
                <c:pt idx="4">
                  <c:v>12623.870736000003</c:v>
                </c:pt>
                <c:pt idx="5">
                  <c:v>26609.439375999998</c:v>
                </c:pt>
                <c:pt idx="6">
                  <c:v>52861.367055999996</c:v>
                </c:pt>
              </c:numCache>
            </c:numRef>
          </c:xVal>
          <c:yVal>
            <c:numRef>
              <c:f>Вдоль!$G$2:$G$8</c:f>
              <c:numCache>
                <c:formatCode>General</c:formatCode>
                <c:ptCount val="7"/>
                <c:pt idx="0">
                  <c:v>0.1961</c:v>
                </c:pt>
                <c:pt idx="1">
                  <c:v>0.21829999999999999</c:v>
                </c:pt>
                <c:pt idx="2">
                  <c:v>0.19900000000000001</c:v>
                </c:pt>
                <c:pt idx="3">
                  <c:v>0.17709999999999998</c:v>
                </c:pt>
                <c:pt idx="4">
                  <c:v>0.18109999999999998</c:v>
                </c:pt>
                <c:pt idx="5">
                  <c:v>0.18640000000000001</c:v>
                </c:pt>
                <c:pt idx="6">
                  <c:v>0.19790000000000002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A7-4ABA-9CCB-61B79DDDE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402319"/>
        <c:axId val="1865401839"/>
      </c:scatterChart>
      <c:valAx>
        <c:axId val="186540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5401839"/>
        <c:crosses val="autoZero"/>
        <c:crossBetween val="midCat"/>
      </c:valAx>
      <c:valAx>
        <c:axId val="186540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540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Поперёк!$F$2:$F$8</c:f>
              <c:numCache>
                <c:formatCode>General</c:formatCode>
                <c:ptCount val="7"/>
                <c:pt idx="0">
                  <c:v>52861.367055999996</c:v>
                </c:pt>
                <c:pt idx="1">
                  <c:v>108770.67841599998</c:v>
                </c:pt>
                <c:pt idx="2">
                  <c:v>62342.099856000001</c:v>
                </c:pt>
                <c:pt idx="3">
                  <c:v>5041.5680160000011</c:v>
                </c:pt>
                <c:pt idx="4">
                  <c:v>12623.870736000003</c:v>
                </c:pt>
                <c:pt idx="5">
                  <c:v>137964.70209600002</c:v>
                </c:pt>
                <c:pt idx="6">
                  <c:v>124690.90945599999</c:v>
                </c:pt>
              </c:numCache>
            </c:numRef>
          </c:xVal>
          <c:yVal>
            <c:numRef>
              <c:f>Поперёк!$G$2:$G$8</c:f>
              <c:numCache>
                <c:formatCode>General</c:formatCode>
                <c:ptCount val="7"/>
                <c:pt idx="0">
                  <c:v>0.2036</c:v>
                </c:pt>
                <c:pt idx="1">
                  <c:v>0.23290000000000002</c:v>
                </c:pt>
                <c:pt idx="2">
                  <c:v>0.2132</c:v>
                </c:pt>
                <c:pt idx="3">
                  <c:v>0.1794</c:v>
                </c:pt>
                <c:pt idx="4">
                  <c:v>0.18529999999999999</c:v>
                </c:pt>
                <c:pt idx="5">
                  <c:v>0.24</c:v>
                </c:pt>
                <c:pt idx="6">
                  <c:v>0.23749999999999999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B-4A7A-A5F6-F2F254739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331151"/>
        <c:axId val="1813327791"/>
      </c:scatterChart>
      <c:valAx>
        <c:axId val="181333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3327791"/>
        <c:crosses val="autoZero"/>
        <c:crossBetween val="midCat"/>
      </c:valAx>
      <c:valAx>
        <c:axId val="181332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333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15</xdr:row>
      <xdr:rowOff>11430</xdr:rowOff>
    </xdr:from>
    <xdr:to>
      <xdr:col>7</xdr:col>
      <xdr:colOff>449580</xdr:colOff>
      <xdr:row>30</xdr:row>
      <xdr:rowOff>11430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4DBC14D-83B1-DA2E-80CA-0438E088A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167640</xdr:colOff>
      <xdr:row>14</xdr:row>
      <xdr:rowOff>140970</xdr:rowOff>
    </xdr:from>
    <xdr:to>
      <xdr:col>13</xdr:col>
      <xdr:colOff>472440</xdr:colOff>
      <xdr:row>29</xdr:row>
      <xdr:rowOff>140970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D0A47F3-D238-2569-6F7B-F8E057698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91440</xdr:colOff>
      <xdr:row>14</xdr:row>
      <xdr:rowOff>11430</xdr:rowOff>
    </xdr:from>
    <xdr:to>
      <xdr:col>20</xdr:col>
      <xdr:colOff>396240</xdr:colOff>
      <xdr:row>29</xdr:row>
      <xdr:rowOff>11430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D6CAD19-AB2A-EA30-4285-E15A7C1DB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99060</xdr:colOff>
      <xdr:row>13</xdr:row>
      <xdr:rowOff>49530</xdr:rowOff>
    </xdr:from>
    <xdr:to>
      <xdr:col>21</xdr:col>
      <xdr:colOff>403860</xdr:colOff>
      <xdr:row>28</xdr:row>
      <xdr:rowOff>49530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06B3FD2-2172-2AE0-3991-DABEE0258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DFF33B-5E73-79C8-C6B2-CD2F15A17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CC50D75-1B33-6FF0-95AC-31BC7D747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481E0DD-263C-0724-6216-5BB569CE5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B862-5F93-4777-A6F9-CE8F875FCE7C}">
  <dimension ref="A1:U15"/>
  <sheetViews>
    <sheetView tabSelected="1" workbookViewId="0">
      <selection activeCell="D2" sqref="C2:D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0</v>
      </c>
      <c r="D1" t="s">
        <v>1</v>
      </c>
      <c r="F1" t="s">
        <v>2</v>
      </c>
      <c r="I1" t="s">
        <v>0</v>
      </c>
      <c r="J1" t="s">
        <v>4</v>
      </c>
      <c r="L1" t="s">
        <v>5</v>
      </c>
      <c r="N1" t="s">
        <v>2</v>
      </c>
      <c r="Q1" t="s">
        <v>7</v>
      </c>
      <c r="T1" t="s">
        <v>8</v>
      </c>
    </row>
    <row r="2" spans="1:21" x14ac:dyDescent="0.3">
      <c r="A2">
        <v>0</v>
      </c>
      <c r="B2">
        <f>11.5</f>
        <v>11.5</v>
      </c>
      <c r="C2" s="1">
        <v>0</v>
      </c>
      <c r="D2" s="1">
        <f>11.5</f>
        <v>11.5</v>
      </c>
      <c r="F2" t="s">
        <v>3</v>
      </c>
      <c r="I2">
        <v>0.14000000000000001</v>
      </c>
      <c r="J2">
        <v>1.8240000000000001</v>
      </c>
      <c r="N2" t="s">
        <v>6</v>
      </c>
      <c r="Q2" t="s">
        <v>0</v>
      </c>
      <c r="R2" t="s">
        <v>4</v>
      </c>
      <c r="T2" t="s">
        <v>0</v>
      </c>
      <c r="U2" t="s">
        <v>4</v>
      </c>
    </row>
    <row r="3" spans="1:21" x14ac:dyDescent="0.3">
      <c r="A3">
        <v>0.16</v>
      </c>
      <c r="B3">
        <v>222.4</v>
      </c>
      <c r="C3" s="1">
        <v>0.08</v>
      </c>
      <c r="D3" s="1">
        <v>120.3</v>
      </c>
      <c r="I3">
        <v>0.04</v>
      </c>
      <c r="J3">
        <v>0.93700000000000006</v>
      </c>
      <c r="Q3">
        <v>0.2</v>
      </c>
      <c r="R3">
        <v>2.0230000000000001</v>
      </c>
      <c r="T3">
        <v>0.17</v>
      </c>
      <c r="U3">
        <v>2.0880000000000001</v>
      </c>
    </row>
    <row r="4" spans="1:21" x14ac:dyDescent="0.3">
      <c r="A4">
        <v>0.08</v>
      </c>
      <c r="B4">
        <v>120.3</v>
      </c>
      <c r="C4" s="1">
        <v>0.11</v>
      </c>
      <c r="D4" s="1">
        <v>151.80000000000001</v>
      </c>
      <c r="I4">
        <v>0.28999999999999998</v>
      </c>
      <c r="J4">
        <v>3.3809999999999998</v>
      </c>
      <c r="Q4">
        <v>0.39</v>
      </c>
      <c r="R4">
        <v>2.1829999999999998</v>
      </c>
      <c r="T4">
        <v>0.28999999999999998</v>
      </c>
      <c r="U4">
        <v>2.3290000000000002</v>
      </c>
    </row>
    <row r="5" spans="1:21" x14ac:dyDescent="0.3">
      <c r="A5">
        <v>0.23</v>
      </c>
      <c r="B5">
        <v>288</v>
      </c>
      <c r="C5" s="1">
        <v>0.16</v>
      </c>
      <c r="D5" s="1">
        <v>222.4</v>
      </c>
      <c r="I5">
        <v>0.36</v>
      </c>
      <c r="J5">
        <v>3.7240000000000002</v>
      </c>
      <c r="Q5">
        <v>0.18</v>
      </c>
      <c r="R5">
        <v>1.99</v>
      </c>
      <c r="T5">
        <v>0.19</v>
      </c>
      <c r="U5">
        <v>2.1320000000000001</v>
      </c>
    </row>
    <row r="6" spans="1:21" x14ac:dyDescent="0.3">
      <c r="A6">
        <v>0.28999999999999998</v>
      </c>
      <c r="B6">
        <v>340</v>
      </c>
      <c r="C6" s="1">
        <v>0.23</v>
      </c>
      <c r="D6" s="1">
        <v>288</v>
      </c>
      <c r="I6">
        <v>0.39</v>
      </c>
      <c r="J6">
        <v>3.86</v>
      </c>
      <c r="Q6">
        <v>0.03</v>
      </c>
      <c r="R6">
        <v>1.7709999999999999</v>
      </c>
      <c r="T6">
        <v>0.04</v>
      </c>
      <c r="U6">
        <v>1.794</v>
      </c>
    </row>
    <row r="7" spans="1:21" x14ac:dyDescent="0.3">
      <c r="A7">
        <v>0.38</v>
      </c>
      <c r="B7">
        <v>368</v>
      </c>
      <c r="C7" s="1">
        <v>0.28999999999999998</v>
      </c>
      <c r="D7" s="1">
        <v>340</v>
      </c>
      <c r="I7">
        <v>0.28000000000000003</v>
      </c>
      <c r="J7">
        <v>3.3860000000000001</v>
      </c>
      <c r="Q7">
        <v>7.0000000000000007E-2</v>
      </c>
      <c r="R7">
        <v>1.8109999999999999</v>
      </c>
      <c r="T7">
        <v>7.0000000000000007E-2</v>
      </c>
      <c r="U7">
        <v>1.853</v>
      </c>
    </row>
    <row r="8" spans="1:21" x14ac:dyDescent="0.3">
      <c r="A8">
        <v>0.11</v>
      </c>
      <c r="B8">
        <v>151.80000000000001</v>
      </c>
      <c r="C8" s="1">
        <v>0.38</v>
      </c>
      <c r="D8" s="1">
        <v>368</v>
      </c>
      <c r="I8">
        <v>0.2</v>
      </c>
      <c r="J8">
        <v>2.4980000000000002</v>
      </c>
      <c r="Q8">
        <v>0.11</v>
      </c>
      <c r="R8">
        <v>1.8640000000000001</v>
      </c>
      <c r="T8">
        <v>0.37</v>
      </c>
      <c r="U8">
        <v>2.4</v>
      </c>
    </row>
    <row r="9" spans="1:21" x14ac:dyDescent="0.3">
      <c r="C9">
        <f>11.5</f>
        <v>11.5</v>
      </c>
      <c r="Q9">
        <v>0.17</v>
      </c>
      <c r="R9">
        <v>1.9790000000000001</v>
      </c>
      <c r="T9">
        <v>0.33</v>
      </c>
      <c r="U9">
        <v>2.375</v>
      </c>
    </row>
    <row r="10" spans="1:21" x14ac:dyDescent="0.3">
      <c r="C10">
        <v>120.3</v>
      </c>
    </row>
    <row r="11" spans="1:21" x14ac:dyDescent="0.3">
      <c r="C11">
        <v>151.80000000000001</v>
      </c>
    </row>
    <row r="12" spans="1:21" x14ac:dyDescent="0.3">
      <c r="C12">
        <v>222.4</v>
      </c>
    </row>
    <row r="13" spans="1:21" x14ac:dyDescent="0.3">
      <c r="C13">
        <v>288</v>
      </c>
    </row>
    <row r="14" spans="1:21" x14ac:dyDescent="0.3">
      <c r="C14">
        <v>340</v>
      </c>
    </row>
    <row r="15" spans="1:21" x14ac:dyDescent="0.3">
      <c r="C15">
        <v>368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8319-A65B-4EF8-885B-0FD80DB59962}">
  <dimension ref="A1:H8"/>
  <sheetViews>
    <sheetView workbookViewId="0">
      <selection activeCell="H2" sqref="G2:H8"/>
    </sheetView>
  </sheetViews>
  <sheetFormatPr defaultRowHeight="14.4" x14ac:dyDescent="0.3"/>
  <sheetData>
    <row r="1" spans="1:8" x14ac:dyDescent="0.3">
      <c r="A1" t="s">
        <v>12</v>
      </c>
      <c r="D1" t="s">
        <v>0</v>
      </c>
      <c r="E1" t="s">
        <v>4</v>
      </c>
      <c r="F1" t="s">
        <v>11</v>
      </c>
      <c r="G1" t="s">
        <v>9</v>
      </c>
      <c r="H1" t="s">
        <v>10</v>
      </c>
    </row>
    <row r="2" spans="1:8" x14ac:dyDescent="0.3">
      <c r="A2">
        <v>0.86199999999999999</v>
      </c>
      <c r="D2">
        <v>0.14000000000000001</v>
      </c>
      <c r="E2">
        <v>1.8240000000000001</v>
      </c>
      <c r="F2">
        <f>(E2-A$2)/A$2</f>
        <v>1.1160092807424595</v>
      </c>
      <c r="G2" s="1">
        <f t="shared" ref="G2:G8" si="0">(11.5+1550*D2-1560*D2^2)^2</f>
        <v>39173.909776000015</v>
      </c>
      <c r="H2" s="1">
        <f>F2/25</f>
        <v>4.4640371229698383E-2</v>
      </c>
    </row>
    <row r="3" spans="1:8" x14ac:dyDescent="0.3">
      <c r="D3">
        <v>0.04</v>
      </c>
      <c r="E3">
        <v>0.93700000000000006</v>
      </c>
      <c r="F3">
        <f t="shared" ref="F3:F8" si="1">(E3-A$2)/A$2</f>
        <v>8.700696055684462E-2</v>
      </c>
      <c r="G3" s="1">
        <f t="shared" si="0"/>
        <v>5041.5680160000011</v>
      </c>
      <c r="H3" s="1">
        <f t="shared" ref="H3:H8" si="2">F3/25</f>
        <v>3.4802784222737848E-3</v>
      </c>
    </row>
    <row r="4" spans="1:8" x14ac:dyDescent="0.3">
      <c r="D4">
        <v>0.28999999999999998</v>
      </c>
      <c r="E4">
        <v>3.3809999999999998</v>
      </c>
      <c r="F4">
        <f t="shared" si="1"/>
        <v>2.9222737819025517</v>
      </c>
      <c r="G4" s="1">
        <f t="shared" si="0"/>
        <v>108770.67841599998</v>
      </c>
      <c r="H4" s="1">
        <f t="shared" si="2"/>
        <v>0.11689095127610206</v>
      </c>
    </row>
    <row r="5" spans="1:8" x14ac:dyDescent="0.3">
      <c r="D5">
        <v>0.36</v>
      </c>
      <c r="E5">
        <v>3.7240000000000002</v>
      </c>
      <c r="F5">
        <f t="shared" si="1"/>
        <v>3.3201856148491879</v>
      </c>
      <c r="G5" s="1">
        <f t="shared" si="0"/>
        <v>134926.92097600002</v>
      </c>
      <c r="H5" s="1">
        <f t="shared" si="2"/>
        <v>0.13280742459396752</v>
      </c>
    </row>
    <row r="6" spans="1:8" x14ac:dyDescent="0.3">
      <c r="D6">
        <v>0.39</v>
      </c>
      <c r="E6">
        <v>3.86</v>
      </c>
      <c r="F6">
        <f t="shared" si="1"/>
        <v>3.4779582366589326</v>
      </c>
      <c r="G6" s="1">
        <f t="shared" si="0"/>
        <v>143431.86817599999</v>
      </c>
      <c r="H6" s="1">
        <f t="shared" si="2"/>
        <v>0.1391183294663573</v>
      </c>
    </row>
    <row r="7" spans="1:8" x14ac:dyDescent="0.3">
      <c r="D7">
        <v>0.28000000000000003</v>
      </c>
      <c r="E7">
        <v>3.3860000000000001</v>
      </c>
      <c r="F7">
        <f t="shared" si="1"/>
        <v>2.9280742459396754</v>
      </c>
      <c r="G7" s="1">
        <f t="shared" si="0"/>
        <v>104455.65441600002</v>
      </c>
      <c r="H7" s="1">
        <f t="shared" si="2"/>
        <v>0.11712296983758702</v>
      </c>
    </row>
    <row r="8" spans="1:8" x14ac:dyDescent="0.3">
      <c r="D8">
        <v>0.2</v>
      </c>
      <c r="E8">
        <v>2.4980000000000002</v>
      </c>
      <c r="F8">
        <f t="shared" si="1"/>
        <v>1.8979118329466358</v>
      </c>
      <c r="G8" s="1">
        <f t="shared" si="0"/>
        <v>67132.809999999983</v>
      </c>
      <c r="H8" s="1">
        <f t="shared" si="2"/>
        <v>7.5916473317865427E-2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E2AB-55B7-4547-8592-EA0F24D55559}">
  <dimension ref="A1:G8"/>
  <sheetViews>
    <sheetView workbookViewId="0">
      <selection activeCell="G2" sqref="F2:G8"/>
    </sheetView>
  </sheetViews>
  <sheetFormatPr defaultRowHeight="14.4" x14ac:dyDescent="0.3"/>
  <sheetData>
    <row r="1" spans="1:7" x14ac:dyDescent="0.3">
      <c r="A1">
        <v>1.762</v>
      </c>
      <c r="C1" t="s">
        <v>0</v>
      </c>
      <c r="D1" t="s">
        <v>4</v>
      </c>
      <c r="E1" t="s">
        <v>11</v>
      </c>
      <c r="F1" t="s">
        <v>13</v>
      </c>
      <c r="G1" t="s">
        <v>14</v>
      </c>
    </row>
    <row r="2" spans="1:7" x14ac:dyDescent="0.3">
      <c r="C2">
        <v>0.2</v>
      </c>
      <c r="D2">
        <v>3.7229999999999999</v>
      </c>
      <c r="E2">
        <f>D2-A1</f>
        <v>1.9609999999999999</v>
      </c>
      <c r="F2" s="1">
        <f>(11.5+1550*C2-1560*C2^2)^2</f>
        <v>67132.809999999983</v>
      </c>
      <c r="G2" s="1">
        <f>E2/10</f>
        <v>0.1961</v>
      </c>
    </row>
    <row r="3" spans="1:7" x14ac:dyDescent="0.3">
      <c r="C3">
        <v>0.39</v>
      </c>
      <c r="D3">
        <v>2.1829999999999998</v>
      </c>
      <c r="E3">
        <f t="shared" ref="E3:E8" si="0">D3-A2</f>
        <v>2.1829999999999998</v>
      </c>
      <c r="F3" s="1">
        <f t="shared" ref="F3:F8" si="1">(11.5+1550*C3-1560*C3^2)^2</f>
        <v>143431.86817599999</v>
      </c>
      <c r="G3" s="1">
        <f t="shared" ref="G3:G8" si="2">E3/10</f>
        <v>0.21829999999999999</v>
      </c>
    </row>
    <row r="4" spans="1:7" x14ac:dyDescent="0.3">
      <c r="C4">
        <v>0.18</v>
      </c>
      <c r="D4">
        <v>1.99</v>
      </c>
      <c r="E4">
        <f t="shared" si="0"/>
        <v>1.99</v>
      </c>
      <c r="F4" s="1">
        <f t="shared" si="1"/>
        <v>57578.881936000005</v>
      </c>
      <c r="G4" s="1">
        <f t="shared" si="2"/>
        <v>0.19900000000000001</v>
      </c>
    </row>
    <row r="5" spans="1:7" x14ac:dyDescent="0.3">
      <c r="C5">
        <v>0.03</v>
      </c>
      <c r="D5">
        <v>1.7709999999999999</v>
      </c>
      <c r="E5">
        <f t="shared" si="0"/>
        <v>1.7709999999999999</v>
      </c>
      <c r="F5" s="1">
        <f t="shared" si="1"/>
        <v>3203.1072160000003</v>
      </c>
      <c r="G5" s="1">
        <f t="shared" si="2"/>
        <v>0.17709999999999998</v>
      </c>
    </row>
    <row r="6" spans="1:7" x14ac:dyDescent="0.3">
      <c r="C6">
        <v>7.0000000000000007E-2</v>
      </c>
      <c r="D6">
        <v>1.8109999999999999</v>
      </c>
      <c r="E6">
        <f t="shared" si="0"/>
        <v>1.8109999999999999</v>
      </c>
      <c r="F6" s="1">
        <f t="shared" si="1"/>
        <v>12623.870736000003</v>
      </c>
      <c r="G6" s="1">
        <f t="shared" si="2"/>
        <v>0.18109999999999998</v>
      </c>
    </row>
    <row r="7" spans="1:7" x14ac:dyDescent="0.3">
      <c r="C7">
        <v>0.11</v>
      </c>
      <c r="D7">
        <v>1.8640000000000001</v>
      </c>
      <c r="E7">
        <f t="shared" si="0"/>
        <v>1.8640000000000001</v>
      </c>
      <c r="F7" s="1">
        <f t="shared" si="1"/>
        <v>26609.439375999998</v>
      </c>
      <c r="G7" s="1">
        <f t="shared" si="2"/>
        <v>0.18640000000000001</v>
      </c>
    </row>
    <row r="8" spans="1:7" x14ac:dyDescent="0.3">
      <c r="C8">
        <v>0.17</v>
      </c>
      <c r="D8">
        <v>1.9790000000000001</v>
      </c>
      <c r="E8">
        <f t="shared" si="0"/>
        <v>1.9790000000000001</v>
      </c>
      <c r="F8" s="1">
        <f t="shared" si="1"/>
        <v>52861.367055999996</v>
      </c>
      <c r="G8" s="1">
        <f t="shared" si="2"/>
        <v>0.19790000000000002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BEAF-10E4-4723-8283-9A70B4AB8737}">
  <dimension ref="A1:G8"/>
  <sheetViews>
    <sheetView workbookViewId="0">
      <selection activeCell="G2" sqref="F2:G8"/>
    </sheetView>
  </sheetViews>
  <sheetFormatPr defaultRowHeight="14.4" x14ac:dyDescent="0.3"/>
  <sheetData>
    <row r="1" spans="1:7" x14ac:dyDescent="0.3">
      <c r="A1">
        <v>1.762</v>
      </c>
      <c r="C1" t="s">
        <v>0</v>
      </c>
      <c r="D1" t="s">
        <v>4</v>
      </c>
      <c r="E1" t="s">
        <v>11</v>
      </c>
      <c r="F1" t="s">
        <v>13</v>
      </c>
      <c r="G1" t="s">
        <v>14</v>
      </c>
    </row>
    <row r="2" spans="1:7" x14ac:dyDescent="0.3">
      <c r="C2">
        <v>0.17</v>
      </c>
      <c r="D2">
        <v>3.798</v>
      </c>
      <c r="E2">
        <f>D2-A1</f>
        <v>2.036</v>
      </c>
      <c r="F2" s="1">
        <f>(11.5+1550*C2-1560*C2^2)^2</f>
        <v>52861.367055999996</v>
      </c>
      <c r="G2" s="1">
        <f>E2/10</f>
        <v>0.2036</v>
      </c>
    </row>
    <row r="3" spans="1:7" x14ac:dyDescent="0.3">
      <c r="C3">
        <v>0.28999999999999998</v>
      </c>
      <c r="D3">
        <v>2.3290000000000002</v>
      </c>
      <c r="E3">
        <f t="shared" ref="E3:E8" si="0">D3-A2</f>
        <v>2.3290000000000002</v>
      </c>
      <c r="F3" s="1">
        <f t="shared" ref="F3:F8" si="1">(11.5+1550*C3-1560*C3^2)^2</f>
        <v>108770.67841599998</v>
      </c>
      <c r="G3" s="1">
        <f t="shared" ref="G3:G8" si="2">E3/10</f>
        <v>0.23290000000000002</v>
      </c>
    </row>
    <row r="4" spans="1:7" x14ac:dyDescent="0.3">
      <c r="C4">
        <v>0.19</v>
      </c>
      <c r="D4">
        <v>2.1320000000000001</v>
      </c>
      <c r="E4">
        <f t="shared" si="0"/>
        <v>2.1320000000000001</v>
      </c>
      <c r="F4" s="1">
        <f t="shared" si="1"/>
        <v>62342.099856000001</v>
      </c>
      <c r="G4" s="1">
        <f t="shared" si="2"/>
        <v>0.2132</v>
      </c>
    </row>
    <row r="5" spans="1:7" x14ac:dyDescent="0.3">
      <c r="C5">
        <v>0.04</v>
      </c>
      <c r="D5">
        <v>1.794</v>
      </c>
      <c r="E5">
        <f t="shared" si="0"/>
        <v>1.794</v>
      </c>
      <c r="F5" s="1">
        <f t="shared" si="1"/>
        <v>5041.5680160000011</v>
      </c>
      <c r="G5" s="1">
        <f t="shared" si="2"/>
        <v>0.1794</v>
      </c>
    </row>
    <row r="6" spans="1:7" x14ac:dyDescent="0.3">
      <c r="C6">
        <v>7.0000000000000007E-2</v>
      </c>
      <c r="D6">
        <v>1.853</v>
      </c>
      <c r="E6">
        <f t="shared" si="0"/>
        <v>1.853</v>
      </c>
      <c r="F6" s="1">
        <f t="shared" si="1"/>
        <v>12623.870736000003</v>
      </c>
      <c r="G6" s="1">
        <f t="shared" si="2"/>
        <v>0.18529999999999999</v>
      </c>
    </row>
    <row r="7" spans="1:7" x14ac:dyDescent="0.3">
      <c r="C7">
        <v>0.37</v>
      </c>
      <c r="D7">
        <v>2.4</v>
      </c>
      <c r="E7">
        <f t="shared" si="0"/>
        <v>2.4</v>
      </c>
      <c r="F7" s="1">
        <f t="shared" si="1"/>
        <v>137964.70209600002</v>
      </c>
      <c r="G7" s="1">
        <f t="shared" si="2"/>
        <v>0.24</v>
      </c>
    </row>
    <row r="8" spans="1:7" x14ac:dyDescent="0.3">
      <c r="C8">
        <v>0.33</v>
      </c>
      <c r="D8">
        <v>2.375</v>
      </c>
      <c r="E8">
        <f t="shared" si="0"/>
        <v>2.375</v>
      </c>
      <c r="F8" s="1">
        <f t="shared" si="1"/>
        <v>124690.90945599999</v>
      </c>
      <c r="G8" s="1">
        <f t="shared" si="2"/>
        <v>0.23749999999999999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Магнит</vt:lpstr>
      <vt:lpstr>Диск</vt:lpstr>
      <vt:lpstr>Вдоль</vt:lpstr>
      <vt:lpstr>Поперёк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2025-09-02T08:14:05Z</dcterms:created>
  <dcterms:modified xsi:type="dcterms:W3CDTF">2025-09-11T19:11:02Z</dcterms:modified>
</cp:coreProperties>
</file>