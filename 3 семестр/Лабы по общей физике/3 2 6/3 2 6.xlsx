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3 семестр\3 2 6\"/>
    </mc:Choice>
  </mc:AlternateContent>
  <xr:revisionPtr revIDLastSave="0" documentId="13_ncr:1_{112559A2-7900-447C-935B-CFA4CDA49DB6}" xr6:coauthVersionLast="47" xr6:coauthVersionMax="47" xr10:uidLastSave="{00000000-0000-0000-0000-000000000000}"/>
  <bookViews>
    <workbookView xWindow="-108" yWindow="-108" windowWidth="23256" windowHeight="13896" activeTab="1" xr2:uid="{76D7231D-9ED4-48F3-A4DC-A2800B289B19}"/>
  </bookViews>
  <sheets>
    <sheet name="Лист1" sheetId="1" r:id="rId1"/>
    <sheet name="Лист2" sheetId="2" r:id="rId2"/>
    <sheet name="Лист3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14" i="2"/>
  <c r="G13" i="2"/>
  <c r="I9" i="2"/>
  <c r="I8" i="2"/>
  <c r="I7" i="2"/>
  <c r="C14" i="2"/>
  <c r="D14" i="2"/>
  <c r="E14" i="2"/>
  <c r="F14" i="2"/>
  <c r="B14" i="2"/>
  <c r="C13" i="2"/>
  <c r="D13" i="2"/>
  <c r="E13" i="2"/>
  <c r="F13" i="2"/>
  <c r="B13" i="2"/>
  <c r="H9" i="2"/>
  <c r="H8" i="2"/>
  <c r="H7" i="2"/>
  <c r="G9" i="2"/>
  <c r="G8" i="2"/>
  <c r="G7" i="2"/>
  <c r="F9" i="2"/>
  <c r="F8" i="2"/>
  <c r="F7" i="2"/>
  <c r="D5" i="2"/>
  <c r="E9" i="2"/>
  <c r="D9" i="2"/>
  <c r="E8" i="2"/>
  <c r="E7" i="2"/>
  <c r="D8" i="2"/>
  <c r="D7" i="2"/>
  <c r="D4" i="2"/>
  <c r="D3" i="2"/>
  <c r="B5" i="2"/>
  <c r="G3" i="1"/>
  <c r="G4" i="1"/>
  <c r="G5" i="1"/>
  <c r="G6" i="1"/>
  <c r="G7" i="1"/>
  <c r="G8" i="1"/>
  <c r="G9" i="1"/>
  <c r="G10" i="1"/>
  <c r="G11" i="1"/>
  <c r="G12" i="1"/>
  <c r="G13" i="1"/>
</calcChain>
</file>

<file path=xl/sharedStrings.xml><?xml version="1.0" encoding="utf-8"?>
<sst xmlns="http://schemas.openxmlformats.org/spreadsheetml/2006/main" count="25" uniqueCount="25">
  <si>
    <t xml:space="preserve">5 пункт </t>
  </si>
  <si>
    <t>2200 Ом</t>
  </si>
  <si>
    <t>изначально был на 1 см</t>
  </si>
  <si>
    <t>U_0</t>
  </si>
  <si>
    <t>r1/r2</t>
  </si>
  <si>
    <t>r2</t>
  </si>
  <si>
    <t>10 кОм</t>
  </si>
  <si>
    <t>1//2000</t>
  </si>
  <si>
    <t>r0</t>
  </si>
  <si>
    <t>610 Ом</t>
  </si>
  <si>
    <t>67,5 чего-то</t>
  </si>
  <si>
    <t>икс</t>
  </si>
  <si>
    <t>т_0 приблизительно</t>
  </si>
  <si>
    <t>3,41 с</t>
  </si>
  <si>
    <t>Rcr</t>
  </si>
  <si>
    <t>6390 Ом</t>
  </si>
  <si>
    <t>делитель</t>
  </si>
  <si>
    <t>1//20</t>
  </si>
  <si>
    <t>140 см</t>
  </si>
  <si>
    <t>I, нА</t>
  </si>
  <si>
    <t>R,  ом</t>
  </si>
  <si>
    <t>x, см</t>
  </si>
  <si>
    <t>x max, см</t>
  </si>
  <si>
    <t>R, Ом</t>
  </si>
  <si>
    <t>а (расстояние до зеркала)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</si>
</sst>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Лист1!$G$1</c:f>
              <c:strCache>
                <c:ptCount val="1"/>
                <c:pt idx="0">
                  <c:v>I, нА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Лист1!$F$2:$F$13</c:f>
              <c:numCache>
                <c:formatCode>General</c:formatCode>
                <c:ptCount val="12"/>
                <c:pt idx="0">
                  <c:v>24.4</c:v>
                </c:pt>
                <c:pt idx="1">
                  <c:v>22.1</c:v>
                </c:pt>
                <c:pt idx="2">
                  <c:v>20</c:v>
                </c:pt>
                <c:pt idx="3">
                  <c:v>18.899999999999999</c:v>
                </c:pt>
                <c:pt idx="4">
                  <c:v>17.399999999999999</c:v>
                </c:pt>
                <c:pt idx="5">
                  <c:v>16.2</c:v>
                </c:pt>
                <c:pt idx="6">
                  <c:v>15.1</c:v>
                </c:pt>
                <c:pt idx="7">
                  <c:v>13.8</c:v>
                </c:pt>
                <c:pt idx="8">
                  <c:v>13.05</c:v>
                </c:pt>
                <c:pt idx="9">
                  <c:v>10.9</c:v>
                </c:pt>
                <c:pt idx="10">
                  <c:v>9.4</c:v>
                </c:pt>
                <c:pt idx="11">
                  <c:v>7.35</c:v>
                </c:pt>
              </c:numCache>
            </c:numRef>
          </c:xVal>
          <c:yVal>
            <c:numRef>
              <c:f>Лист1!$G$2:$G$13</c:f>
              <c:numCache>
                <c:formatCode>General</c:formatCode>
                <c:ptCount val="12"/>
                <c:pt idx="0">
                  <c:v>240.21352313167262</c:v>
                </c:pt>
                <c:pt idx="1">
                  <c:v>217.04180064308682</c:v>
                </c:pt>
                <c:pt idx="2">
                  <c:v>197.94721407624633</c:v>
                </c:pt>
                <c:pt idx="3">
                  <c:v>186.98060941828257</c:v>
                </c:pt>
                <c:pt idx="4">
                  <c:v>172.63427109974427</c:v>
                </c:pt>
                <c:pt idx="5">
                  <c:v>160.33254156769598</c:v>
                </c:pt>
                <c:pt idx="6">
                  <c:v>149.66740576496676</c:v>
                </c:pt>
                <c:pt idx="7">
                  <c:v>137.47454175152751</c:v>
                </c:pt>
                <c:pt idx="8">
                  <c:v>129.55854126679463</c:v>
                </c:pt>
                <c:pt idx="9">
                  <c:v>108.69565217391305</c:v>
                </c:pt>
                <c:pt idx="10">
                  <c:v>93.619972260748966</c:v>
                </c:pt>
                <c:pt idx="11">
                  <c:v>73.289902280130292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74-4CBB-B369-AF4E66F46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000896"/>
        <c:axId val="1641001376"/>
      </c:scatterChart>
      <c:valAx>
        <c:axId val="164100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1001376"/>
        <c:crosses val="autoZero"/>
        <c:crossBetween val="midCat"/>
      </c:valAx>
      <c:valAx>
        <c:axId val="164100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100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Лист2!$C$13:$G$13</c:f>
              <c:numCache>
                <c:formatCode>General</c:formatCode>
                <c:ptCount val="5"/>
                <c:pt idx="0">
                  <c:v>12.908048283963906</c:v>
                </c:pt>
                <c:pt idx="1">
                  <c:v>13.277464898288219</c:v>
                </c:pt>
                <c:pt idx="2">
                  <c:v>12.930517753407802</c:v>
                </c:pt>
                <c:pt idx="3">
                  <c:v>13.605885898631996</c:v>
                </c:pt>
                <c:pt idx="4">
                  <c:v>12.923337909629865</c:v>
                </c:pt>
              </c:numCache>
            </c:numRef>
          </c:xVal>
          <c:yVal>
            <c:numRef>
              <c:f>Лист2!$C$14:$G$14</c:f>
              <c:numCache>
                <c:formatCode>General</c:formatCode>
                <c:ptCount val="5"/>
                <c:pt idx="0">
                  <c:v>886848400</c:v>
                </c:pt>
                <c:pt idx="1">
                  <c:v>947408400</c:v>
                </c:pt>
                <c:pt idx="2">
                  <c:v>1074528400</c:v>
                </c:pt>
                <c:pt idx="3">
                  <c:v>1141088400</c:v>
                </c:pt>
                <c:pt idx="4">
                  <c:v>1209648400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7F-4A6A-B893-4F2873F54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020064"/>
        <c:axId val="1726020544"/>
      </c:scatterChart>
      <c:valAx>
        <c:axId val="172602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6020544"/>
        <c:crosses val="autoZero"/>
        <c:crossBetween val="midCat"/>
      </c:valAx>
      <c:valAx>
        <c:axId val="172602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602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Лист3!$C$2:$C$9</c:f>
              <c:numCache>
                <c:formatCode>General</c:formatCode>
                <c:ptCount val="8"/>
                <c:pt idx="0">
                  <c:v>600</c:v>
                </c:pt>
                <c:pt idx="1">
                  <c:v>2000</c:v>
                </c:pt>
                <c:pt idx="2">
                  <c:v>5000</c:v>
                </c:pt>
                <c:pt idx="3">
                  <c:v>6000</c:v>
                </c:pt>
                <c:pt idx="4">
                  <c:v>7000</c:v>
                </c:pt>
                <c:pt idx="5">
                  <c:v>8000</c:v>
                </c:pt>
                <c:pt idx="6">
                  <c:v>9000</c:v>
                </c:pt>
                <c:pt idx="7">
                  <c:v>10000</c:v>
                </c:pt>
              </c:numCache>
            </c:numRef>
          </c:xVal>
          <c:yVal>
            <c:numRef>
              <c:f>Лист3!$D$2:$D$9</c:f>
              <c:numCache>
                <c:formatCode>General</c:formatCode>
                <c:ptCount val="8"/>
                <c:pt idx="0">
                  <c:v>3.7</c:v>
                </c:pt>
                <c:pt idx="1">
                  <c:v>5.8</c:v>
                </c:pt>
                <c:pt idx="2">
                  <c:v>8.8000000000000007</c:v>
                </c:pt>
                <c:pt idx="3">
                  <c:v>9.6999999999999993</c:v>
                </c:pt>
                <c:pt idx="4">
                  <c:v>10.199999999999999</c:v>
                </c:pt>
                <c:pt idx="5">
                  <c:v>10.8</c:v>
                </c:pt>
                <c:pt idx="6">
                  <c:v>11.4</c:v>
                </c:pt>
                <c:pt idx="7">
                  <c:v>11.9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4E-4B9E-B400-A7B562801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030144"/>
        <c:axId val="1726025344"/>
      </c:scatterChart>
      <c:valAx>
        <c:axId val="172603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6025344"/>
        <c:crosses val="autoZero"/>
        <c:crossBetween val="midCat"/>
      </c:valAx>
      <c:valAx>
        <c:axId val="172602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603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8</xdr:row>
      <xdr:rowOff>133350</xdr:rowOff>
    </xdr:from>
    <xdr:to>
      <xdr:col>15</xdr:col>
      <xdr:colOff>15240</xdr:colOff>
      <xdr:row>23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900E309-FE6B-34D2-A88F-929FD53C7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312420</xdr:colOff>
      <xdr:row>16</xdr:row>
      <xdr:rowOff>125730</xdr:rowOff>
    </xdr:from>
    <xdr:to>
      <xdr:col>14</xdr:col>
      <xdr:colOff>7620</xdr:colOff>
      <xdr:row>31</xdr:row>
      <xdr:rowOff>125730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FFAB599-C3C0-AB0C-AFC6-5B6686E8A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CE63288-D58F-72AA-324F-1C9FC0F8A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B9ED-8DDA-4D11-BDEE-2C2073CC3DF5}">
  <dimension ref="A1:G14"/>
  <sheetViews>
    <sheetView workbookViewId="0">
      <selection activeCell="H4" sqref="H4"/>
    </sheetView>
  </sheetViews>
  <sheetFormatPr defaultRowHeight="14.4" x14ac:dyDescent="0.3"/>
  <cols>
    <col min="7" max="7" width="12" bestFit="1" customWidth="1"/>
  </cols>
  <sheetData>
    <row r="1" spans="1:7" x14ac:dyDescent="0.3">
      <c r="A1" t="s">
        <v>0</v>
      </c>
      <c r="E1" t="s">
        <v>20</v>
      </c>
      <c r="F1" t="s">
        <v>21</v>
      </c>
      <c r="G1" t="s">
        <v>19</v>
      </c>
    </row>
    <row r="2" spans="1:7" x14ac:dyDescent="0.3">
      <c r="A2" t="s">
        <v>1</v>
      </c>
      <c r="E2">
        <v>2200</v>
      </c>
      <c r="F2">
        <v>24.4</v>
      </c>
      <c r="G2">
        <f>1.35/2000/(E2+610)*1000000000</f>
        <v>240.21352313167262</v>
      </c>
    </row>
    <row r="3" spans="1:7" x14ac:dyDescent="0.3">
      <c r="A3" t="s">
        <v>2</v>
      </c>
      <c r="E3">
        <v>2500</v>
      </c>
      <c r="F3">
        <v>22.1</v>
      </c>
      <c r="G3">
        <f t="shared" ref="G3:G13" si="0">1.35/2000/(E3+610)*1000000000</f>
        <v>217.04180064308682</v>
      </c>
    </row>
    <row r="4" spans="1:7" x14ac:dyDescent="0.3">
      <c r="E4">
        <v>2800</v>
      </c>
      <c r="F4">
        <v>20</v>
      </c>
      <c r="G4">
        <f t="shared" si="0"/>
        <v>197.94721407624633</v>
      </c>
    </row>
    <row r="5" spans="1:7" x14ac:dyDescent="0.3">
      <c r="E5">
        <v>3000</v>
      </c>
      <c r="F5">
        <v>18.899999999999999</v>
      </c>
      <c r="G5">
        <f t="shared" si="0"/>
        <v>186.98060941828257</v>
      </c>
    </row>
    <row r="6" spans="1:7" x14ac:dyDescent="0.3">
      <c r="A6" t="s">
        <v>3</v>
      </c>
      <c r="E6">
        <v>3300</v>
      </c>
      <c r="F6">
        <v>17.399999999999999</v>
      </c>
      <c r="G6">
        <f t="shared" si="0"/>
        <v>172.63427109974427</v>
      </c>
    </row>
    <row r="7" spans="1:7" x14ac:dyDescent="0.3">
      <c r="A7" t="s">
        <v>10</v>
      </c>
      <c r="E7">
        <v>3600</v>
      </c>
      <c r="F7">
        <v>16.2</v>
      </c>
      <c r="G7">
        <f t="shared" si="0"/>
        <v>160.33254156769598</v>
      </c>
    </row>
    <row r="8" spans="1:7" x14ac:dyDescent="0.3">
      <c r="A8" t="s">
        <v>4</v>
      </c>
      <c r="E8">
        <v>3900</v>
      </c>
      <c r="F8">
        <v>15.1</v>
      </c>
      <c r="G8">
        <f t="shared" si="0"/>
        <v>149.66740576496676</v>
      </c>
    </row>
    <row r="9" spans="1:7" x14ac:dyDescent="0.3">
      <c r="A9" s="1" t="s">
        <v>7</v>
      </c>
      <c r="E9">
        <v>4300</v>
      </c>
      <c r="F9">
        <v>13.8</v>
      </c>
      <c r="G9">
        <f t="shared" si="0"/>
        <v>137.47454175152751</v>
      </c>
    </row>
    <row r="10" spans="1:7" x14ac:dyDescent="0.3">
      <c r="A10" t="s">
        <v>5</v>
      </c>
      <c r="E10">
        <v>4600</v>
      </c>
      <c r="F10">
        <v>13.05</v>
      </c>
      <c r="G10">
        <f t="shared" si="0"/>
        <v>129.55854126679463</v>
      </c>
    </row>
    <row r="11" spans="1:7" x14ac:dyDescent="0.3">
      <c r="A11" t="s">
        <v>6</v>
      </c>
      <c r="E11">
        <v>5600</v>
      </c>
      <c r="F11">
        <v>10.9</v>
      </c>
      <c r="G11">
        <f t="shared" si="0"/>
        <v>108.69565217391305</v>
      </c>
    </row>
    <row r="12" spans="1:7" x14ac:dyDescent="0.3">
      <c r="E12">
        <v>6600</v>
      </c>
      <c r="F12">
        <v>9.4</v>
      </c>
      <c r="G12">
        <f t="shared" si="0"/>
        <v>93.619972260748966</v>
      </c>
    </row>
    <row r="13" spans="1:7" x14ac:dyDescent="0.3">
      <c r="A13" t="s">
        <v>8</v>
      </c>
      <c r="E13">
        <v>8600</v>
      </c>
      <c r="F13">
        <v>7.35</v>
      </c>
      <c r="G13">
        <f t="shared" si="0"/>
        <v>73.289902280130292</v>
      </c>
    </row>
    <row r="14" spans="1:7" x14ac:dyDescent="0.3">
      <c r="A14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A1BD-6111-4A6A-A006-7CD3862E7C3B}">
  <dimension ref="A1:O14"/>
  <sheetViews>
    <sheetView tabSelected="1" workbookViewId="0">
      <selection activeCell="F14" sqref="F14:G14"/>
    </sheetView>
  </sheetViews>
  <sheetFormatPr defaultRowHeight="14.4" x14ac:dyDescent="0.3"/>
  <cols>
    <col min="2" max="2" width="10" bestFit="1" customWidth="1"/>
  </cols>
  <sheetData>
    <row r="1" spans="1:15" x14ac:dyDescent="0.3">
      <c r="A1" t="s">
        <v>11</v>
      </c>
    </row>
    <row r="2" spans="1:15" x14ac:dyDescent="0.3">
      <c r="A2">
        <v>24.25</v>
      </c>
      <c r="D2">
        <v>19170</v>
      </c>
      <c r="E2">
        <v>29170</v>
      </c>
      <c r="F2">
        <v>30170</v>
      </c>
      <c r="G2">
        <v>32170</v>
      </c>
      <c r="H2">
        <v>33170</v>
      </c>
      <c r="I2">
        <v>34170</v>
      </c>
      <c r="J2">
        <v>36170</v>
      </c>
      <c r="K2">
        <v>38170</v>
      </c>
      <c r="L2">
        <v>45170</v>
      </c>
      <c r="M2">
        <v>52170</v>
      </c>
      <c r="N2">
        <v>57170</v>
      </c>
      <c r="O2">
        <v>63900</v>
      </c>
    </row>
    <row r="3" spans="1:15" x14ac:dyDescent="0.3">
      <c r="D3">
        <f>21.8+24.2</f>
        <v>46</v>
      </c>
    </row>
    <row r="4" spans="1:15" x14ac:dyDescent="0.3">
      <c r="A4" t="s">
        <v>12</v>
      </c>
      <c r="D4">
        <f>24.2+18.5</f>
        <v>42.7</v>
      </c>
    </row>
    <row r="5" spans="1:15" x14ac:dyDescent="0.3">
      <c r="A5" t="s">
        <v>13</v>
      </c>
      <c r="B5">
        <f>-5.14+8.49</f>
        <v>3.3500000000000005</v>
      </c>
      <c r="D5">
        <f>LN(D3/D4)</f>
        <v>7.4442476254515999E-2</v>
      </c>
    </row>
    <row r="7" spans="1:15" x14ac:dyDescent="0.3">
      <c r="A7" t="s">
        <v>14</v>
      </c>
      <c r="D7">
        <f>19.6+6.5</f>
        <v>26.1</v>
      </c>
      <c r="E7">
        <f>19.2+9.2</f>
        <v>28.4</v>
      </c>
      <c r="F7">
        <f>18.4+9.1</f>
        <v>27.5</v>
      </c>
      <c r="G7">
        <f>22.9+11.7</f>
        <v>34.599999999999994</v>
      </c>
      <c r="H7">
        <f>22.3+11.6</f>
        <v>33.9</v>
      </c>
      <c r="I7">
        <f>19.3+10.35</f>
        <v>29.65</v>
      </c>
    </row>
    <row r="8" spans="1:15" x14ac:dyDescent="0.3">
      <c r="A8" t="s">
        <v>15</v>
      </c>
      <c r="D8">
        <f>19.6+3.8</f>
        <v>23.400000000000002</v>
      </c>
      <c r="E8">
        <f>19.2+2.3</f>
        <v>21.5</v>
      </c>
      <c r="F8">
        <f>18.4+2.5</f>
        <v>20.9</v>
      </c>
      <c r="G8">
        <f>22.9+3.3</f>
        <v>26.2</v>
      </c>
      <c r="H8">
        <f>22.3+3.55</f>
        <v>25.85</v>
      </c>
      <c r="I8">
        <f>19.3+3.15</f>
        <v>22.45</v>
      </c>
    </row>
    <row r="9" spans="1:15" x14ac:dyDescent="0.3">
      <c r="D9">
        <f>LN(D7/D8)</f>
        <v>0.10919929196499201</v>
      </c>
      <c r="E9">
        <f>LN(E7/E8)</f>
        <v>0.27833621003354325</v>
      </c>
      <c r="F9">
        <f>LN(F7/F8)</f>
        <v>0.27443684570176036</v>
      </c>
      <c r="G9">
        <f>LN(G7/G8)</f>
        <v>0.27809427129662728</v>
      </c>
      <c r="H9">
        <f>LN(H7/H8)</f>
        <v>0.2711044134319664</v>
      </c>
      <c r="I9">
        <f>LN(I7/I8)</f>
        <v>0.27817151125547124</v>
      </c>
    </row>
    <row r="13" spans="1:15" x14ac:dyDescent="0.3">
      <c r="B13">
        <f>1/D9/D9</f>
        <v>83.861061449256383</v>
      </c>
      <c r="C13">
        <f t="shared" ref="C13:G13" si="0">1/E9/E9</f>
        <v>12.908048283963906</v>
      </c>
      <c r="D13">
        <f t="shared" si="0"/>
        <v>13.277464898288219</v>
      </c>
      <c r="E13">
        <f t="shared" si="0"/>
        <v>12.930517753407802</v>
      </c>
      <c r="F13">
        <f t="shared" si="0"/>
        <v>13.605885898631996</v>
      </c>
      <c r="G13">
        <f t="shared" si="0"/>
        <v>12.923337909629865</v>
      </c>
    </row>
    <row r="14" spans="1:15" x14ac:dyDescent="0.3">
      <c r="B14">
        <f>(D2+610)^2</f>
        <v>391248400</v>
      </c>
      <c r="C14">
        <f t="shared" ref="C14:G14" si="1">(E2+610)^2</f>
        <v>886848400</v>
      </c>
      <c r="D14">
        <f t="shared" si="1"/>
        <v>947408400</v>
      </c>
      <c r="E14">
        <f t="shared" si="1"/>
        <v>1074528400</v>
      </c>
      <c r="F14">
        <f t="shared" si="1"/>
        <v>1141088400</v>
      </c>
      <c r="G14">
        <f t="shared" si="1"/>
        <v>1209648400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E046-31CE-4CAA-9E04-503CE856E858}">
  <dimension ref="A1:D9"/>
  <sheetViews>
    <sheetView workbookViewId="0">
      <selection sqref="A1:A2"/>
    </sheetView>
  </sheetViews>
  <sheetFormatPr defaultRowHeight="14.4" x14ac:dyDescent="0.3"/>
  <sheetData>
    <row r="1" spans="1:4" x14ac:dyDescent="0.3">
      <c r="A1" t="s">
        <v>16</v>
      </c>
      <c r="C1" t="s">
        <v>23</v>
      </c>
      <c r="D1" t="s">
        <v>22</v>
      </c>
    </row>
    <row r="2" spans="1:4" x14ac:dyDescent="0.3">
      <c r="A2" t="s">
        <v>17</v>
      </c>
      <c r="C2">
        <v>600</v>
      </c>
      <c r="D2">
        <v>3.7</v>
      </c>
    </row>
    <row r="3" spans="1:4" x14ac:dyDescent="0.3">
      <c r="C3">
        <v>2000</v>
      </c>
      <c r="D3">
        <v>5.8</v>
      </c>
    </row>
    <row r="4" spans="1:4" x14ac:dyDescent="0.3">
      <c r="A4" t="s">
        <v>24</v>
      </c>
      <c r="C4">
        <v>5000</v>
      </c>
      <c r="D4">
        <v>8.8000000000000007</v>
      </c>
    </row>
    <row r="5" spans="1:4" x14ac:dyDescent="0.3">
      <c r="A5" t="s">
        <v>18</v>
      </c>
      <c r="C5">
        <v>6000</v>
      </c>
      <c r="D5">
        <v>9.6999999999999993</v>
      </c>
    </row>
    <row r="6" spans="1:4" x14ac:dyDescent="0.3">
      <c r="C6">
        <v>7000</v>
      </c>
      <c r="D6">
        <v>10.199999999999999</v>
      </c>
    </row>
    <row r="7" spans="1:4" x14ac:dyDescent="0.3">
      <c r="C7">
        <v>8000</v>
      </c>
      <c r="D7">
        <v>10.8</v>
      </c>
    </row>
    <row r="8" spans="1:4" x14ac:dyDescent="0.3">
      <c r="C8">
        <v>9000</v>
      </c>
      <c r="D8">
        <v>11.4</v>
      </c>
    </row>
    <row r="9" spans="1:4" x14ac:dyDescent="0.3">
      <c r="C9">
        <v>10000</v>
      </c>
      <c r="D9">
        <v>11.9</v>
      </c>
    </row>
  </sheetData>
  <sortState xmlns:xlrd2="http://schemas.microsoft.com/office/spreadsheetml/2017/richdata2" ref="C2:D9">
    <sortCondition ref="C2:C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2025-12-02T06:12:29Z</dcterms:created>
  <dcterms:modified xsi:type="dcterms:W3CDTF">2025-12-08T01:39:38Z</dcterms:modified>
</cp:coreProperties>
</file>