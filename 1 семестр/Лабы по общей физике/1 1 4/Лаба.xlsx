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"/>
    </mc:Choice>
  </mc:AlternateContent>
  <xr:revisionPtr revIDLastSave="0" documentId="13_ncr:1_{77C59165-40C2-413D-9F39-ECD601309C6D}" xr6:coauthVersionLast="47" xr6:coauthVersionMax="47" xr10:uidLastSave="{00000000-0000-0000-0000-000000000000}"/>
  <bookViews>
    <workbookView xWindow="-108" yWindow="-108" windowWidth="23256" windowHeight="13896" xr2:uid="{EA8208AC-6DFB-4415-88B5-4D763F781189}"/>
  </bookViews>
  <sheets>
    <sheet name="10" sheetId="4" r:id="rId1"/>
    <sheet name="20" sheetId="1" r:id="rId2"/>
    <sheet name="40" sheetId="2" r:id="rId3"/>
    <sheet name="8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4" l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1" i="4"/>
  <c r="K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1" i="4"/>
  <c r="K2" i="4"/>
  <c r="K3" i="4"/>
  <c r="K4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1" i="4"/>
  <c r="P6" i="3"/>
  <c r="O6" i="3"/>
  <c r="P6" i="2"/>
  <c r="O6" i="2"/>
  <c r="P6" i="1"/>
  <c r="O6" i="1"/>
  <c r="P6" i="4"/>
  <c r="O6" i="4"/>
  <c r="N6" i="3"/>
  <c r="N6" i="2"/>
  <c r="N6" i="1"/>
  <c r="N6" i="4"/>
  <c r="M6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1" i="3"/>
  <c r="B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B1" i="2"/>
  <c r="G1" i="2" s="1"/>
  <c r="G1" i="1"/>
  <c r="M6" i="1"/>
  <c r="M6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B1" i="1"/>
  <c r="B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1" i="4"/>
  <c r="E9" i="3"/>
  <c r="E13" i="3"/>
  <c r="E8" i="3"/>
  <c r="E10" i="3"/>
  <c r="E11" i="3"/>
  <c r="E12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2" i="3"/>
  <c r="E3" i="3"/>
  <c r="E4" i="3"/>
  <c r="E5" i="3"/>
  <c r="E6" i="3"/>
  <c r="E7" i="3"/>
  <c r="E37" i="3"/>
  <c r="E38" i="3"/>
  <c r="E39" i="3"/>
  <c r="E40" i="3"/>
  <c r="E41" i="3"/>
  <c r="E42" i="3"/>
  <c r="E43" i="3"/>
  <c r="E44" i="3"/>
  <c r="E45" i="3"/>
  <c r="E1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1" i="1"/>
  <c r="M6" i="2" l="1"/>
</calcChain>
</file>

<file path=xl/sharedStrings.xml><?xml version="1.0" encoding="utf-8"?>
<sst xmlns="http://schemas.openxmlformats.org/spreadsheetml/2006/main" count="16" uniqueCount="4">
  <si>
    <t>ст. откл.</t>
  </si>
  <si>
    <t>погр. Ср. знач.</t>
  </si>
  <si>
    <t>j</t>
  </si>
  <si>
    <t>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</si>
</sst>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'10'!$C$1:$C$19</c:f>
              <c:numCache>
                <c:formatCode>General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</c:numCache>
            </c:numRef>
          </c:cat>
          <c:val>
            <c:numRef>
              <c:f>'10'!$E$1:$E$19</c:f>
              <c:numCache>
                <c:formatCode>General</c:formatCode>
                <c:ptCount val="19"/>
                <c:pt idx="0">
                  <c:v>2.5000000000000001E-3</c:v>
                </c:pt>
                <c:pt idx="1">
                  <c:v>0.01</c:v>
                </c:pt>
                <c:pt idx="2">
                  <c:v>0.04</c:v>
                </c:pt>
                <c:pt idx="3">
                  <c:v>4.4999999999999998E-2</c:v>
                </c:pt>
                <c:pt idx="4">
                  <c:v>6.7500000000000004E-2</c:v>
                </c:pt>
                <c:pt idx="5">
                  <c:v>7.7499999999999999E-2</c:v>
                </c:pt>
                <c:pt idx="6">
                  <c:v>0.125</c:v>
                </c:pt>
                <c:pt idx="7">
                  <c:v>0.115</c:v>
                </c:pt>
                <c:pt idx="8">
                  <c:v>0.1075</c:v>
                </c:pt>
                <c:pt idx="9">
                  <c:v>0.1075</c:v>
                </c:pt>
                <c:pt idx="10">
                  <c:v>8.2500000000000004E-2</c:v>
                </c:pt>
                <c:pt idx="11">
                  <c:v>7.7499999999999999E-2</c:v>
                </c:pt>
                <c:pt idx="12">
                  <c:v>5.7500000000000002E-2</c:v>
                </c:pt>
                <c:pt idx="13">
                  <c:v>3.2500000000000001E-2</c:v>
                </c:pt>
                <c:pt idx="14">
                  <c:v>2.5000000000000001E-2</c:v>
                </c:pt>
                <c:pt idx="15">
                  <c:v>1.7500000000000002E-2</c:v>
                </c:pt>
                <c:pt idx="16">
                  <c:v>0</c:v>
                </c:pt>
                <c:pt idx="17">
                  <c:v>2.5000000000000001E-3</c:v>
                </c:pt>
                <c:pt idx="18">
                  <c:v>7.4999999999999997E-3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8-4554-A7C9-B03D00ACF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541120"/>
        <c:axId val="1523538240"/>
      </c:barChart>
      <c:catAx>
        <c:axId val="15235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3538240"/>
        <c:crosses val="autoZero"/>
        <c:auto val="1"/>
        <c:lblAlgn val="ctr"/>
        <c:lblOffset val="100"/>
        <c:noMultiLvlLbl val="0"/>
      </c:catAx>
      <c:valAx>
        <c:axId val="15235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354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Пуассона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'10'!$I$1:$I$19</c:f>
              <c:numCache>
                <c:formatCode>General</c:formatCode>
                <c:ptCount val="1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</c:numCache>
            </c:numRef>
          </c:cat>
          <c:val>
            <c:numRef>
              <c:f>'10'!$J$1:$J$19</c:f>
              <c:numCache>
                <c:formatCode>General</c:formatCode>
                <c:ptCount val="19"/>
                <c:pt idx="0">
                  <c:v>5.8845177932343841E-3</c:v>
                </c:pt>
                <c:pt idx="1">
                  <c:v>1.3940422652172256E-2</c:v>
                </c:pt>
                <c:pt idx="2">
                  <c:v>2.7520717719163399E-2</c:v>
                </c:pt>
                <c:pt idx="3">
                  <c:v>4.6568985911927215E-2</c:v>
                </c:pt>
                <c:pt idx="4">
                  <c:v>6.8951204765847235E-2</c:v>
                </c:pt>
                <c:pt idx="5">
                  <c:v>9.0747446716828939E-2</c:v>
                </c:pt>
                <c:pt idx="6">
                  <c:v>0.10749035063608391</c:v>
                </c:pt>
                <c:pt idx="7">
                  <c:v>0.11574756393494672</c:v>
                </c:pt>
                <c:pt idx="8">
                  <c:v>0.11425249123412035</c:v>
                </c:pt>
                <c:pt idx="9">
                  <c:v>0.10410159682062735</c:v>
                </c:pt>
                <c:pt idx="10">
                  <c:v>8.8077386738595081E-2</c:v>
                </c:pt>
                <c:pt idx="11">
                  <c:v>6.9551776394577242E-2</c:v>
                </c:pt>
                <c:pt idx="12">
                  <c:v>5.1490049462110471E-2</c:v>
                </c:pt>
                <c:pt idx="13">
                  <c:v>3.587644916933521E-2</c:v>
                </c:pt>
                <c:pt idx="14">
                  <c:v>2.3608696689487538E-2</c:v>
                </c:pt>
                <c:pt idx="15">
                  <c:v>1.4718158541419992E-2</c:v>
                </c:pt>
                <c:pt idx="16">
                  <c:v>8.716829396155994E-3</c:v>
                </c:pt>
                <c:pt idx="17">
                  <c:v>4.916706866546083E-3</c:v>
                </c:pt>
                <c:pt idx="18">
                  <c:v>2.6471996742835615E-3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1-455C-A4AB-71560E9B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712207"/>
        <c:axId val="466709807"/>
      </c:barChart>
      <c:catAx>
        <c:axId val="46671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709807"/>
        <c:crosses val="autoZero"/>
        <c:auto val="1"/>
        <c:lblAlgn val="ctr"/>
        <c:lblOffset val="100"/>
        <c:noMultiLvlLbl val="0"/>
      </c:catAx>
      <c:valAx>
        <c:axId val="46670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71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'20'!$C$1:$C$25</c:f>
              <c:numCache>
                <c:formatCode>General</c:formatCode>
                <c:ptCount val="25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</c:numCache>
            </c:numRef>
          </c:cat>
          <c:val>
            <c:numRef>
              <c:f>'20'!$E$1:$E$25</c:f>
              <c:numCache>
                <c:formatCode>General</c:formatCode>
                <c:ptCount val="25"/>
                <c:pt idx="0">
                  <c:v>0.01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3.5000000000000003E-2</c:v>
                </c:pt>
                <c:pt idx="4">
                  <c:v>0.05</c:v>
                </c:pt>
                <c:pt idx="5">
                  <c:v>6.5000000000000002E-2</c:v>
                </c:pt>
                <c:pt idx="6">
                  <c:v>6.5000000000000002E-2</c:v>
                </c:pt>
                <c:pt idx="7">
                  <c:v>4.4999999999999998E-2</c:v>
                </c:pt>
                <c:pt idx="8">
                  <c:v>6.5000000000000002E-2</c:v>
                </c:pt>
                <c:pt idx="9">
                  <c:v>0.1</c:v>
                </c:pt>
                <c:pt idx="10">
                  <c:v>0.08</c:v>
                </c:pt>
                <c:pt idx="11">
                  <c:v>0.1</c:v>
                </c:pt>
                <c:pt idx="12">
                  <c:v>8.5000000000000006E-2</c:v>
                </c:pt>
                <c:pt idx="13">
                  <c:v>5.5E-2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0.03</c:v>
                </c:pt>
                <c:pt idx="18">
                  <c:v>0.01</c:v>
                </c:pt>
                <c:pt idx="19">
                  <c:v>0</c:v>
                </c:pt>
                <c:pt idx="20">
                  <c:v>5.0000000000000001E-3</c:v>
                </c:pt>
                <c:pt idx="21">
                  <c:v>0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B-4BA8-A2F3-CE6E958D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424256"/>
        <c:axId val="1598422816"/>
      </c:barChart>
      <c:catAx>
        <c:axId val="15984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8422816"/>
        <c:crosses val="autoZero"/>
        <c:auto val="1"/>
        <c:lblAlgn val="ctr"/>
        <c:lblOffset val="100"/>
        <c:noMultiLvlLbl val="0"/>
      </c:catAx>
      <c:valAx>
        <c:axId val="15984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842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'40'!$C$7:$C$31</c:f>
              <c:numCache>
                <c:formatCode>General</c:formatCode>
                <c:ptCount val="25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  <c:pt idx="12">
                  <c:v>49</c:v>
                </c:pt>
                <c:pt idx="13">
                  <c:v>50</c:v>
                </c:pt>
                <c:pt idx="14">
                  <c:v>51</c:v>
                </c:pt>
                <c:pt idx="15">
                  <c:v>52</c:v>
                </c:pt>
                <c:pt idx="16">
                  <c:v>53</c:v>
                </c:pt>
                <c:pt idx="17">
                  <c:v>54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61</c:v>
                </c:pt>
              </c:numCache>
            </c:numRef>
          </c:cat>
          <c:val>
            <c:numRef>
              <c:f>'40'!$E$7:$E$31</c:f>
              <c:numCache>
                <c:formatCode>General</c:formatCode>
                <c:ptCount val="2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0.02</c:v>
                </c:pt>
                <c:pt idx="4">
                  <c:v>0.01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0.03</c:v>
                </c:pt>
                <c:pt idx="8">
                  <c:v>0.04</c:v>
                </c:pt>
                <c:pt idx="9">
                  <c:v>0.09</c:v>
                </c:pt>
                <c:pt idx="10">
                  <c:v>0.04</c:v>
                </c:pt>
                <c:pt idx="11">
                  <c:v>7.0000000000000007E-2</c:v>
                </c:pt>
                <c:pt idx="12">
                  <c:v>0.03</c:v>
                </c:pt>
                <c:pt idx="13">
                  <c:v>0.03</c:v>
                </c:pt>
                <c:pt idx="14">
                  <c:v>0.09</c:v>
                </c:pt>
                <c:pt idx="15">
                  <c:v>7.0000000000000007E-2</c:v>
                </c:pt>
                <c:pt idx="16">
                  <c:v>0.02</c:v>
                </c:pt>
                <c:pt idx="17">
                  <c:v>0.03</c:v>
                </c:pt>
                <c:pt idx="18">
                  <c:v>0.04</c:v>
                </c:pt>
                <c:pt idx="19">
                  <c:v>0.01</c:v>
                </c:pt>
                <c:pt idx="20">
                  <c:v>0.02</c:v>
                </c:pt>
                <c:pt idx="21">
                  <c:v>0.04</c:v>
                </c:pt>
                <c:pt idx="22">
                  <c:v>0.01</c:v>
                </c:pt>
                <c:pt idx="23">
                  <c:v>0.03</c:v>
                </c:pt>
                <c:pt idx="2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7-42A2-97F7-1634BF2D8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693440"/>
        <c:axId val="1157696800"/>
      </c:barChart>
      <c:catAx>
        <c:axId val="11576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7696800"/>
        <c:crosses val="autoZero"/>
        <c:auto val="1"/>
        <c:lblAlgn val="ctr"/>
        <c:lblOffset val="100"/>
        <c:noMultiLvlLbl val="0"/>
      </c:catAx>
      <c:valAx>
        <c:axId val="11576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76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'80'!$C$8:$C$36</c:f>
              <c:numCache>
                <c:formatCode>General</c:formatCode>
                <c:ptCount val="29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</c:numCache>
            </c:numRef>
          </c:cat>
          <c:val>
            <c:numRef>
              <c:f>'80'!$E$8:$E$36</c:f>
              <c:numCache>
                <c:formatCode>General</c:formatCode>
                <c:ptCount val="29"/>
                <c:pt idx="0">
                  <c:v>0.04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0.04</c:v>
                </c:pt>
                <c:pt idx="5">
                  <c:v>0</c:v>
                </c:pt>
                <c:pt idx="6">
                  <c:v>0.02</c:v>
                </c:pt>
                <c:pt idx="7">
                  <c:v>0.04</c:v>
                </c:pt>
                <c:pt idx="8">
                  <c:v>0</c:v>
                </c:pt>
                <c:pt idx="9">
                  <c:v>0.04</c:v>
                </c:pt>
                <c:pt idx="10">
                  <c:v>0.06</c:v>
                </c:pt>
                <c:pt idx="11">
                  <c:v>0.06</c:v>
                </c:pt>
                <c:pt idx="12">
                  <c:v>0.02</c:v>
                </c:pt>
                <c:pt idx="13">
                  <c:v>0.1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0.02</c:v>
                </c:pt>
                <c:pt idx="21">
                  <c:v>0.04</c:v>
                </c:pt>
                <c:pt idx="22">
                  <c:v>0.02</c:v>
                </c:pt>
                <c:pt idx="23">
                  <c:v>0.04</c:v>
                </c:pt>
                <c:pt idx="24">
                  <c:v>0.06</c:v>
                </c:pt>
                <c:pt idx="25">
                  <c:v>0.02</c:v>
                </c:pt>
                <c:pt idx="26">
                  <c:v>0.06</c:v>
                </c:pt>
                <c:pt idx="27">
                  <c:v>0.02</c:v>
                </c:pt>
                <c:pt idx="28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E-4970-BDC0-FD8D6DCBC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105856"/>
        <c:axId val="1599107776"/>
      </c:barChart>
      <c:catAx>
        <c:axId val="159910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107776"/>
        <c:crosses val="autoZero"/>
        <c:auto val="1"/>
        <c:lblAlgn val="ctr"/>
        <c:lblOffset val="100"/>
        <c:noMultiLvlLbl val="0"/>
      </c:catAx>
      <c:valAx>
        <c:axId val="15991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910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464820</xdr:colOff>
      <xdr:row>18</xdr:row>
      <xdr:rowOff>91440</xdr:rowOff>
    </xdr:from>
    <xdr:to>
      <xdr:col>22</xdr:col>
      <xdr:colOff>15240</xdr:colOff>
      <xdr:row>32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6C5D9C-60EB-C421-4720-AAD311393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365760</xdr:colOff>
      <xdr:row>3</xdr:row>
      <xdr:rowOff>26670</xdr:rowOff>
    </xdr:from>
    <xdr:to>
      <xdr:col>22</xdr:col>
      <xdr:colOff>60960</xdr:colOff>
      <xdr:row>18</xdr:row>
      <xdr:rowOff>26670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761A85-5DDC-8A1F-48E7-58A279F90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19</xdr:row>
      <xdr:rowOff>99060</xdr:rowOff>
    </xdr:from>
    <xdr:to>
      <xdr:col>22</xdr:col>
      <xdr:colOff>198120</xdr:colOff>
      <xdr:row>30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BE8968-5752-452C-B75A-6577D3959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441960</xdr:colOff>
      <xdr:row>25</xdr:row>
      <xdr:rowOff>0</xdr:rowOff>
    </xdr:from>
    <xdr:to>
      <xdr:col>23</xdr:col>
      <xdr:colOff>0</xdr:colOff>
      <xdr:row>34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D3C109-7122-79B5-3F4E-EDFBF6E3C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23</xdr:row>
      <xdr:rowOff>15240</xdr:rowOff>
    </xdr:from>
    <xdr:to>
      <xdr:col>21</xdr:col>
      <xdr:colOff>541020</xdr:colOff>
      <xdr:row>33</xdr:row>
      <xdr:rowOff>137160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6ABBA0-7480-E9AF-5A00-B92AD3269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5013-DB63-4F9D-A47A-4B24261BC4E5}">
  <dimension ref="A1:X400"/>
  <sheetViews>
    <sheetView tabSelected="1" topLeftCell="B1" zoomScaleNormal="100" workbookViewId="0">
      <selection activeCell="L1" sqref="L1:L19"/>
    </sheetView>
  </sheetViews>
  <sheetFormatPr defaultRowHeight="14.4" x14ac:dyDescent="0.3"/>
  <cols>
    <col min="10" max="10" width="8.88671875" customWidth="1"/>
  </cols>
  <sheetData>
    <row r="1" spans="1:24" x14ac:dyDescent="0.3">
      <c r="A1">
        <v>18</v>
      </c>
      <c r="B1">
        <f>AVERAGE(A:A)</f>
        <v>11.845000000000001</v>
      </c>
      <c r="C1">
        <v>4</v>
      </c>
      <c r="D1">
        <v>1</v>
      </c>
      <c r="E1">
        <f>D1/400</f>
        <v>2.5000000000000001E-3</v>
      </c>
      <c r="G1">
        <f>(A1-$B$1)^2</f>
        <v>37.884024999999994</v>
      </c>
      <c r="I1">
        <v>4</v>
      </c>
      <c r="J1">
        <f>$B$1^(I1)*EXP(-$B$1)/FACT(I1)</f>
        <v>5.8845177932343841E-3</v>
      </c>
      <c r="K1">
        <f>IF(ABS(I1-$B$1)&lt;3.341,1,0)</f>
        <v>0</v>
      </c>
      <c r="L1">
        <f>IF(ABS(I1-$B$1)&lt;6.682,1,0)</f>
        <v>0</v>
      </c>
      <c r="X1" s="4">
        <f>IF(ABS(I1-$B$1)&lt;3*3.341,1,0)</f>
        <v>1</v>
      </c>
    </row>
    <row r="2" spans="1:24" x14ac:dyDescent="0.3">
      <c r="A2">
        <v>9</v>
      </c>
      <c r="C2">
        <v>5</v>
      </c>
      <c r="D2">
        <v>4</v>
      </c>
      <c r="E2">
        <f t="shared" ref="E2:E19" si="0">D2/400</f>
        <v>0.01</v>
      </c>
      <c r="G2">
        <f t="shared" ref="G2:G65" si="1">(A2-$B$1)^2</f>
        <v>8.0940250000000038</v>
      </c>
      <c r="I2">
        <v>5</v>
      </c>
      <c r="J2">
        <f t="shared" ref="J2:J19" si="2">$B$1^(I2)*EXP(-$B$1)/FACT(I2)</f>
        <v>1.3940422652172256E-2</v>
      </c>
      <c r="K2">
        <f t="shared" ref="K1:K4" si="3">IF(ABS(I2-$B$1)&lt;3.341,1,0)</f>
        <v>0</v>
      </c>
      <c r="L2">
        <f t="shared" ref="L2:L19" si="4">IF(ABS(I2-$B$1)&lt;6.682,1,0)</f>
        <v>0</v>
      </c>
      <c r="X2" s="4">
        <f t="shared" ref="X2:X19" si="5">IF(ABS(I2-$B$1)&lt;3*3.341,1,0)</f>
        <v>1</v>
      </c>
    </row>
    <row r="3" spans="1:24" x14ac:dyDescent="0.3">
      <c r="A3">
        <v>17</v>
      </c>
      <c r="C3">
        <v>6</v>
      </c>
      <c r="D3">
        <v>16</v>
      </c>
      <c r="E3">
        <f t="shared" si="0"/>
        <v>0.04</v>
      </c>
      <c r="G3">
        <f t="shared" si="1"/>
        <v>26.574024999999992</v>
      </c>
      <c r="I3">
        <v>6</v>
      </c>
      <c r="J3">
        <f t="shared" si="2"/>
        <v>2.7520717719163399E-2</v>
      </c>
      <c r="K3">
        <f t="shared" si="3"/>
        <v>0</v>
      </c>
      <c r="L3" s="4">
        <f t="shared" si="4"/>
        <v>1</v>
      </c>
      <c r="X3" s="4">
        <f t="shared" si="5"/>
        <v>1</v>
      </c>
    </row>
    <row r="4" spans="1:24" x14ac:dyDescent="0.3">
      <c r="A4">
        <v>14</v>
      </c>
      <c r="C4">
        <v>7</v>
      </c>
      <c r="D4">
        <v>18</v>
      </c>
      <c r="E4">
        <f t="shared" si="0"/>
        <v>4.4999999999999998E-2</v>
      </c>
      <c r="G4">
        <f t="shared" si="1"/>
        <v>4.6440249999999974</v>
      </c>
      <c r="I4">
        <v>7</v>
      </c>
      <c r="J4">
        <f t="shared" si="2"/>
        <v>4.6568985911927215E-2</v>
      </c>
      <c r="K4">
        <f t="shared" si="3"/>
        <v>0</v>
      </c>
      <c r="L4" s="4">
        <f t="shared" si="4"/>
        <v>1</v>
      </c>
      <c r="X4" s="4">
        <f t="shared" si="5"/>
        <v>1</v>
      </c>
    </row>
    <row r="5" spans="1:24" x14ac:dyDescent="0.3">
      <c r="A5">
        <v>15</v>
      </c>
      <c r="C5">
        <v>8</v>
      </c>
      <c r="D5">
        <v>27</v>
      </c>
      <c r="E5">
        <f t="shared" si="0"/>
        <v>6.7500000000000004E-2</v>
      </c>
      <c r="G5">
        <f t="shared" si="1"/>
        <v>9.9540249999999961</v>
      </c>
      <c r="I5">
        <v>8</v>
      </c>
      <c r="J5">
        <f t="shared" si="2"/>
        <v>6.8951204765847235E-2</v>
      </c>
      <c r="K5">
        <f>IF(ABS(I5-$B$1)&lt;3.341,1,0)</f>
        <v>0</v>
      </c>
      <c r="L5" s="4">
        <f t="shared" si="4"/>
        <v>1</v>
      </c>
      <c r="M5" t="s">
        <v>0</v>
      </c>
      <c r="N5" t="s">
        <v>1</v>
      </c>
      <c r="O5" t="s">
        <v>2</v>
      </c>
      <c r="P5" t="s">
        <v>3</v>
      </c>
      <c r="X5" s="4">
        <f t="shared" si="5"/>
        <v>1</v>
      </c>
    </row>
    <row r="6" spans="1:24" x14ac:dyDescent="0.3">
      <c r="A6">
        <v>9</v>
      </c>
      <c r="C6">
        <v>9</v>
      </c>
      <c r="D6">
        <v>31</v>
      </c>
      <c r="E6">
        <f t="shared" si="0"/>
        <v>7.7499999999999999E-2</v>
      </c>
      <c r="G6">
        <f t="shared" si="1"/>
        <v>8.0940250000000038</v>
      </c>
      <c r="I6">
        <v>9</v>
      </c>
      <c r="J6">
        <f t="shared" si="2"/>
        <v>9.0747446716828939E-2</v>
      </c>
      <c r="K6" s="4">
        <f t="shared" ref="K6:K19" si="6">IF(ABS(I6-$B$1)&lt;3.341,1,0)</f>
        <v>1</v>
      </c>
      <c r="L6" s="4">
        <f t="shared" si="4"/>
        <v>1</v>
      </c>
      <c r="M6">
        <f>SQRT(SUM(G:G)/400)</f>
        <v>3.3408045438187504</v>
      </c>
      <c r="N6">
        <f>M6/SQRT(400)</f>
        <v>0.16704022719093753</v>
      </c>
      <c r="O6">
        <f>B1/10</f>
        <v>1.1845000000000001</v>
      </c>
      <c r="P6">
        <f>N6/10</f>
        <v>1.6704022719093752E-2</v>
      </c>
      <c r="X6" s="4">
        <f t="shared" si="5"/>
        <v>1</v>
      </c>
    </row>
    <row r="7" spans="1:24" x14ac:dyDescent="0.3">
      <c r="A7">
        <v>19</v>
      </c>
      <c r="C7">
        <v>10</v>
      </c>
      <c r="D7">
        <v>50</v>
      </c>
      <c r="E7">
        <f t="shared" si="0"/>
        <v>0.125</v>
      </c>
      <c r="G7">
        <f t="shared" si="1"/>
        <v>51.194024999999989</v>
      </c>
      <c r="I7">
        <v>10</v>
      </c>
      <c r="J7">
        <f t="shared" si="2"/>
        <v>0.10749035063608391</v>
      </c>
      <c r="K7" s="4">
        <f t="shared" si="6"/>
        <v>1</v>
      </c>
      <c r="L7" s="4">
        <f t="shared" si="4"/>
        <v>1</v>
      </c>
      <c r="X7" s="4">
        <f t="shared" si="5"/>
        <v>1</v>
      </c>
    </row>
    <row r="8" spans="1:24" x14ac:dyDescent="0.3">
      <c r="A8">
        <v>7</v>
      </c>
      <c r="C8">
        <v>11</v>
      </c>
      <c r="D8">
        <v>46</v>
      </c>
      <c r="E8">
        <f t="shared" si="0"/>
        <v>0.115</v>
      </c>
      <c r="G8">
        <f t="shared" si="1"/>
        <v>23.474025000000005</v>
      </c>
      <c r="I8">
        <v>11</v>
      </c>
      <c r="J8">
        <f t="shared" si="2"/>
        <v>0.11574756393494672</v>
      </c>
      <c r="K8" s="4">
        <f t="shared" si="6"/>
        <v>1</v>
      </c>
      <c r="L8" s="4">
        <f t="shared" si="4"/>
        <v>1</v>
      </c>
      <c r="X8" s="4">
        <f t="shared" si="5"/>
        <v>1</v>
      </c>
    </row>
    <row r="9" spans="1:24" x14ac:dyDescent="0.3">
      <c r="A9">
        <v>19</v>
      </c>
      <c r="C9">
        <v>12</v>
      </c>
      <c r="D9">
        <v>43</v>
      </c>
      <c r="E9">
        <f t="shared" si="0"/>
        <v>0.1075</v>
      </c>
      <c r="G9">
        <f t="shared" si="1"/>
        <v>51.194024999999989</v>
      </c>
      <c r="I9">
        <v>12</v>
      </c>
      <c r="J9">
        <f t="shared" si="2"/>
        <v>0.11425249123412035</v>
      </c>
      <c r="K9" s="4">
        <f t="shared" si="6"/>
        <v>1</v>
      </c>
      <c r="L9" s="4">
        <f t="shared" si="4"/>
        <v>1</v>
      </c>
      <c r="X9" s="4">
        <f t="shared" si="5"/>
        <v>1</v>
      </c>
    </row>
    <row r="10" spans="1:24" x14ac:dyDescent="0.3">
      <c r="A10">
        <v>10</v>
      </c>
      <c r="C10">
        <v>13</v>
      </c>
      <c r="D10">
        <v>43</v>
      </c>
      <c r="E10">
        <f t="shared" si="0"/>
        <v>0.1075</v>
      </c>
      <c r="G10">
        <f t="shared" si="1"/>
        <v>3.4040250000000025</v>
      </c>
      <c r="I10">
        <v>13</v>
      </c>
      <c r="J10">
        <f t="shared" si="2"/>
        <v>0.10410159682062735</v>
      </c>
      <c r="K10" s="4">
        <f t="shared" si="6"/>
        <v>1</v>
      </c>
      <c r="L10" s="4">
        <f t="shared" si="4"/>
        <v>1</v>
      </c>
      <c r="X10" s="4">
        <f t="shared" si="5"/>
        <v>1</v>
      </c>
    </row>
    <row r="11" spans="1:24" x14ac:dyDescent="0.3">
      <c r="A11">
        <v>12</v>
      </c>
      <c r="C11">
        <v>14</v>
      </c>
      <c r="D11">
        <v>33</v>
      </c>
      <c r="E11">
        <f t="shared" si="0"/>
        <v>8.2500000000000004E-2</v>
      </c>
      <c r="G11">
        <f t="shared" si="1"/>
        <v>2.4024999999999803E-2</v>
      </c>
      <c r="I11">
        <v>14</v>
      </c>
      <c r="J11">
        <f t="shared" si="2"/>
        <v>8.8077386738595081E-2</v>
      </c>
      <c r="K11" s="4">
        <f t="shared" si="6"/>
        <v>1</v>
      </c>
      <c r="L11" s="4">
        <f t="shared" si="4"/>
        <v>1</v>
      </c>
      <c r="X11" s="4">
        <f t="shared" si="5"/>
        <v>1</v>
      </c>
    </row>
    <row r="12" spans="1:24" x14ac:dyDescent="0.3">
      <c r="A12">
        <v>8</v>
      </c>
      <c r="C12">
        <v>15</v>
      </c>
      <c r="D12">
        <v>31</v>
      </c>
      <c r="E12">
        <f t="shared" si="0"/>
        <v>7.7499999999999999E-2</v>
      </c>
      <c r="G12">
        <f t="shared" si="1"/>
        <v>14.784025000000005</v>
      </c>
      <c r="I12">
        <v>15</v>
      </c>
      <c r="J12">
        <f t="shared" si="2"/>
        <v>6.9551776394577242E-2</v>
      </c>
      <c r="K12" s="4">
        <f t="shared" si="6"/>
        <v>1</v>
      </c>
      <c r="L12" s="4">
        <f t="shared" si="4"/>
        <v>1</v>
      </c>
      <c r="X12" s="4">
        <f t="shared" si="5"/>
        <v>1</v>
      </c>
    </row>
    <row r="13" spans="1:24" x14ac:dyDescent="0.3">
      <c r="A13">
        <v>15</v>
      </c>
      <c r="C13">
        <v>16</v>
      </c>
      <c r="D13">
        <v>23</v>
      </c>
      <c r="E13">
        <f t="shared" si="0"/>
        <v>5.7500000000000002E-2</v>
      </c>
      <c r="G13">
        <f t="shared" si="1"/>
        <v>9.9540249999999961</v>
      </c>
      <c r="I13">
        <v>16</v>
      </c>
      <c r="J13">
        <f t="shared" si="2"/>
        <v>5.1490049462110471E-2</v>
      </c>
      <c r="K13">
        <f t="shared" si="6"/>
        <v>0</v>
      </c>
      <c r="L13" s="4">
        <f t="shared" si="4"/>
        <v>1</v>
      </c>
      <c r="X13" s="4">
        <f t="shared" si="5"/>
        <v>1</v>
      </c>
    </row>
    <row r="14" spans="1:24" x14ac:dyDescent="0.3">
      <c r="A14">
        <v>14</v>
      </c>
      <c r="C14">
        <v>17</v>
      </c>
      <c r="D14">
        <v>13</v>
      </c>
      <c r="E14">
        <f t="shared" si="0"/>
        <v>3.2500000000000001E-2</v>
      </c>
      <c r="G14">
        <f t="shared" si="1"/>
        <v>4.6440249999999974</v>
      </c>
      <c r="I14">
        <v>17</v>
      </c>
      <c r="J14">
        <f t="shared" si="2"/>
        <v>3.587644916933521E-2</v>
      </c>
      <c r="K14">
        <f t="shared" si="6"/>
        <v>0</v>
      </c>
      <c r="L14" s="4">
        <f t="shared" si="4"/>
        <v>1</v>
      </c>
      <c r="X14" s="4">
        <f t="shared" si="5"/>
        <v>1</v>
      </c>
    </row>
    <row r="15" spans="1:24" x14ac:dyDescent="0.3">
      <c r="A15">
        <v>15</v>
      </c>
      <c r="C15">
        <v>18</v>
      </c>
      <c r="D15">
        <v>10</v>
      </c>
      <c r="E15">
        <f t="shared" si="0"/>
        <v>2.5000000000000001E-2</v>
      </c>
      <c r="G15">
        <f t="shared" si="1"/>
        <v>9.9540249999999961</v>
      </c>
      <c r="I15">
        <v>18</v>
      </c>
      <c r="J15">
        <f t="shared" si="2"/>
        <v>2.3608696689487538E-2</v>
      </c>
      <c r="K15">
        <f t="shared" si="6"/>
        <v>0</v>
      </c>
      <c r="L15" s="4">
        <f t="shared" si="4"/>
        <v>1</v>
      </c>
      <c r="X15" s="4">
        <f t="shared" si="5"/>
        <v>1</v>
      </c>
    </row>
    <row r="16" spans="1:24" x14ac:dyDescent="0.3">
      <c r="A16">
        <v>13</v>
      </c>
      <c r="C16">
        <v>19</v>
      </c>
      <c r="D16">
        <v>7</v>
      </c>
      <c r="E16">
        <f t="shared" si="0"/>
        <v>1.7500000000000002E-2</v>
      </c>
      <c r="G16">
        <f t="shared" si="1"/>
        <v>1.3340249999999985</v>
      </c>
      <c r="I16">
        <v>19</v>
      </c>
      <c r="J16">
        <f t="shared" si="2"/>
        <v>1.4718158541419992E-2</v>
      </c>
      <c r="K16">
        <f t="shared" si="6"/>
        <v>0</v>
      </c>
      <c r="L16">
        <f t="shared" si="4"/>
        <v>0</v>
      </c>
      <c r="X16" s="4">
        <f t="shared" si="5"/>
        <v>1</v>
      </c>
    </row>
    <row r="17" spans="1:24" x14ac:dyDescent="0.3">
      <c r="A17">
        <v>9</v>
      </c>
      <c r="C17">
        <v>20</v>
      </c>
      <c r="D17">
        <v>0</v>
      </c>
      <c r="E17">
        <f t="shared" si="0"/>
        <v>0</v>
      </c>
      <c r="G17">
        <f t="shared" si="1"/>
        <v>8.0940250000000038</v>
      </c>
      <c r="I17">
        <v>20</v>
      </c>
      <c r="J17">
        <f t="shared" si="2"/>
        <v>8.716829396155994E-3</v>
      </c>
      <c r="K17">
        <f t="shared" si="6"/>
        <v>0</v>
      </c>
      <c r="L17">
        <f t="shared" si="4"/>
        <v>0</v>
      </c>
      <c r="X17" s="4">
        <f t="shared" si="5"/>
        <v>1</v>
      </c>
    </row>
    <row r="18" spans="1:24" x14ac:dyDescent="0.3">
      <c r="A18">
        <v>15</v>
      </c>
      <c r="C18">
        <v>21</v>
      </c>
      <c r="D18">
        <v>1</v>
      </c>
      <c r="E18">
        <f t="shared" si="0"/>
        <v>2.5000000000000001E-3</v>
      </c>
      <c r="G18">
        <f t="shared" si="1"/>
        <v>9.9540249999999961</v>
      </c>
      <c r="I18">
        <v>21</v>
      </c>
      <c r="J18">
        <f t="shared" si="2"/>
        <v>4.916706866546083E-3</v>
      </c>
      <c r="K18">
        <f t="shared" si="6"/>
        <v>0</v>
      </c>
      <c r="L18">
        <f t="shared" si="4"/>
        <v>0</v>
      </c>
      <c r="X18" s="4">
        <f t="shared" si="5"/>
        <v>1</v>
      </c>
    </row>
    <row r="19" spans="1:24" x14ac:dyDescent="0.3">
      <c r="A19">
        <v>11</v>
      </c>
      <c r="C19">
        <v>22</v>
      </c>
      <c r="D19">
        <v>3</v>
      </c>
      <c r="E19">
        <f t="shared" si="0"/>
        <v>7.4999999999999997E-3</v>
      </c>
      <c r="G19">
        <f t="shared" si="1"/>
        <v>0.71402500000000113</v>
      </c>
      <c r="I19">
        <v>22</v>
      </c>
      <c r="J19">
        <f t="shared" si="2"/>
        <v>2.6471996742835615E-3</v>
      </c>
      <c r="K19">
        <f t="shared" si="6"/>
        <v>0</v>
      </c>
      <c r="L19">
        <f t="shared" si="4"/>
        <v>0</v>
      </c>
      <c r="X19">
        <f t="shared" si="5"/>
        <v>0</v>
      </c>
    </row>
    <row r="20" spans="1:24" x14ac:dyDescent="0.3">
      <c r="A20">
        <v>16</v>
      </c>
      <c r="G20">
        <f t="shared" si="1"/>
        <v>17.264024999999993</v>
      </c>
    </row>
    <row r="21" spans="1:24" x14ac:dyDescent="0.3">
      <c r="A21">
        <v>6</v>
      </c>
      <c r="G21">
        <f t="shared" si="1"/>
        <v>34.164025000000009</v>
      </c>
    </row>
    <row r="22" spans="1:24" x14ac:dyDescent="0.3">
      <c r="A22">
        <v>8</v>
      </c>
      <c r="G22">
        <f t="shared" si="1"/>
        <v>14.784025000000005</v>
      </c>
    </row>
    <row r="23" spans="1:24" x14ac:dyDescent="0.3">
      <c r="A23">
        <v>11</v>
      </c>
      <c r="G23">
        <f t="shared" si="1"/>
        <v>0.71402500000000113</v>
      </c>
    </row>
    <row r="24" spans="1:24" x14ac:dyDescent="0.3">
      <c r="A24">
        <v>6</v>
      </c>
      <c r="G24">
        <f t="shared" si="1"/>
        <v>34.164025000000009</v>
      </c>
    </row>
    <row r="25" spans="1:24" x14ac:dyDescent="0.3">
      <c r="A25">
        <v>14</v>
      </c>
      <c r="G25">
        <f t="shared" si="1"/>
        <v>4.6440249999999974</v>
      </c>
    </row>
    <row r="26" spans="1:24" x14ac:dyDescent="0.3">
      <c r="A26">
        <v>13</v>
      </c>
      <c r="G26">
        <f t="shared" si="1"/>
        <v>1.3340249999999985</v>
      </c>
    </row>
    <row r="27" spans="1:24" x14ac:dyDescent="0.3">
      <c r="A27">
        <v>7</v>
      </c>
      <c r="G27">
        <f t="shared" si="1"/>
        <v>23.474025000000005</v>
      </c>
    </row>
    <row r="28" spans="1:24" x14ac:dyDescent="0.3">
      <c r="A28">
        <v>12</v>
      </c>
      <c r="G28">
        <f t="shared" si="1"/>
        <v>2.4024999999999803E-2</v>
      </c>
    </row>
    <row r="29" spans="1:24" x14ac:dyDescent="0.3">
      <c r="A29">
        <v>19</v>
      </c>
      <c r="G29">
        <f t="shared" si="1"/>
        <v>51.194024999999989</v>
      </c>
    </row>
    <row r="30" spans="1:24" x14ac:dyDescent="0.3">
      <c r="A30">
        <v>10</v>
      </c>
      <c r="G30">
        <f t="shared" si="1"/>
        <v>3.4040250000000025</v>
      </c>
    </row>
    <row r="31" spans="1:24" x14ac:dyDescent="0.3">
      <c r="A31">
        <v>18</v>
      </c>
      <c r="G31">
        <f t="shared" si="1"/>
        <v>37.884024999999994</v>
      </c>
    </row>
    <row r="32" spans="1:24" x14ac:dyDescent="0.3">
      <c r="A32">
        <v>13</v>
      </c>
      <c r="G32">
        <f t="shared" si="1"/>
        <v>1.3340249999999985</v>
      </c>
    </row>
    <row r="33" spans="1:7" x14ac:dyDescent="0.3">
      <c r="A33">
        <v>8</v>
      </c>
      <c r="G33">
        <f t="shared" si="1"/>
        <v>14.784025000000005</v>
      </c>
    </row>
    <row r="34" spans="1:7" x14ac:dyDescent="0.3">
      <c r="A34">
        <v>15</v>
      </c>
      <c r="G34">
        <f t="shared" si="1"/>
        <v>9.9540249999999961</v>
      </c>
    </row>
    <row r="35" spans="1:7" x14ac:dyDescent="0.3">
      <c r="A35">
        <v>11</v>
      </c>
      <c r="G35">
        <f t="shared" si="1"/>
        <v>0.71402500000000113</v>
      </c>
    </row>
    <row r="36" spans="1:7" x14ac:dyDescent="0.3">
      <c r="A36">
        <v>13</v>
      </c>
      <c r="G36">
        <f t="shared" si="1"/>
        <v>1.3340249999999985</v>
      </c>
    </row>
    <row r="37" spans="1:7" x14ac:dyDescent="0.3">
      <c r="A37">
        <v>11</v>
      </c>
      <c r="G37">
        <f t="shared" si="1"/>
        <v>0.71402500000000113</v>
      </c>
    </row>
    <row r="38" spans="1:7" x14ac:dyDescent="0.3">
      <c r="A38">
        <v>14</v>
      </c>
      <c r="G38">
        <f t="shared" si="1"/>
        <v>4.6440249999999974</v>
      </c>
    </row>
    <row r="39" spans="1:7" x14ac:dyDescent="0.3">
      <c r="A39">
        <v>13</v>
      </c>
      <c r="G39">
        <f t="shared" si="1"/>
        <v>1.3340249999999985</v>
      </c>
    </row>
    <row r="40" spans="1:7" x14ac:dyDescent="0.3">
      <c r="A40">
        <v>17</v>
      </c>
      <c r="G40">
        <f t="shared" si="1"/>
        <v>26.574024999999992</v>
      </c>
    </row>
    <row r="41" spans="1:7" x14ac:dyDescent="0.3">
      <c r="A41">
        <v>16</v>
      </c>
      <c r="G41">
        <f t="shared" si="1"/>
        <v>17.264024999999993</v>
      </c>
    </row>
    <row r="42" spans="1:7" x14ac:dyDescent="0.3">
      <c r="A42">
        <v>14</v>
      </c>
      <c r="G42">
        <f t="shared" si="1"/>
        <v>4.6440249999999974</v>
      </c>
    </row>
    <row r="43" spans="1:7" x14ac:dyDescent="0.3">
      <c r="A43">
        <v>15</v>
      </c>
      <c r="G43">
        <f t="shared" si="1"/>
        <v>9.9540249999999961</v>
      </c>
    </row>
    <row r="44" spans="1:7" x14ac:dyDescent="0.3">
      <c r="A44">
        <v>14</v>
      </c>
      <c r="G44">
        <f t="shared" si="1"/>
        <v>4.6440249999999974</v>
      </c>
    </row>
    <row r="45" spans="1:7" x14ac:dyDescent="0.3">
      <c r="A45">
        <v>9</v>
      </c>
      <c r="G45">
        <f t="shared" si="1"/>
        <v>8.0940250000000038</v>
      </c>
    </row>
    <row r="46" spans="1:7" x14ac:dyDescent="0.3">
      <c r="A46">
        <v>7</v>
      </c>
      <c r="G46">
        <f t="shared" si="1"/>
        <v>23.474025000000005</v>
      </c>
    </row>
    <row r="47" spans="1:7" x14ac:dyDescent="0.3">
      <c r="A47">
        <v>6</v>
      </c>
      <c r="G47">
        <f t="shared" si="1"/>
        <v>34.164025000000009</v>
      </c>
    </row>
    <row r="48" spans="1:7" x14ac:dyDescent="0.3">
      <c r="A48">
        <v>15</v>
      </c>
      <c r="G48">
        <f t="shared" si="1"/>
        <v>9.9540249999999961</v>
      </c>
    </row>
    <row r="49" spans="1:7" x14ac:dyDescent="0.3">
      <c r="A49">
        <v>13</v>
      </c>
      <c r="G49">
        <f t="shared" si="1"/>
        <v>1.3340249999999985</v>
      </c>
    </row>
    <row r="50" spans="1:7" x14ac:dyDescent="0.3">
      <c r="A50">
        <v>10</v>
      </c>
      <c r="G50">
        <f t="shared" si="1"/>
        <v>3.4040250000000025</v>
      </c>
    </row>
    <row r="51" spans="1:7" x14ac:dyDescent="0.3">
      <c r="A51">
        <v>14</v>
      </c>
      <c r="G51">
        <f t="shared" si="1"/>
        <v>4.6440249999999974</v>
      </c>
    </row>
    <row r="52" spans="1:7" x14ac:dyDescent="0.3">
      <c r="A52">
        <v>5</v>
      </c>
      <c r="G52">
        <f t="shared" si="1"/>
        <v>46.854025000000007</v>
      </c>
    </row>
    <row r="53" spans="1:7" x14ac:dyDescent="0.3">
      <c r="A53">
        <v>17</v>
      </c>
      <c r="G53">
        <f t="shared" si="1"/>
        <v>26.574024999999992</v>
      </c>
    </row>
    <row r="54" spans="1:7" x14ac:dyDescent="0.3">
      <c r="A54">
        <v>7</v>
      </c>
      <c r="G54">
        <f t="shared" si="1"/>
        <v>23.474025000000005</v>
      </c>
    </row>
    <row r="55" spans="1:7" x14ac:dyDescent="0.3">
      <c r="A55">
        <v>12</v>
      </c>
      <c r="G55">
        <f t="shared" si="1"/>
        <v>2.4024999999999803E-2</v>
      </c>
    </row>
    <row r="56" spans="1:7" x14ac:dyDescent="0.3">
      <c r="A56">
        <v>12</v>
      </c>
      <c r="G56">
        <f t="shared" si="1"/>
        <v>2.4024999999999803E-2</v>
      </c>
    </row>
    <row r="57" spans="1:7" x14ac:dyDescent="0.3">
      <c r="A57">
        <v>8</v>
      </c>
      <c r="G57">
        <f t="shared" si="1"/>
        <v>14.784025000000005</v>
      </c>
    </row>
    <row r="58" spans="1:7" x14ac:dyDescent="0.3">
      <c r="A58">
        <v>11</v>
      </c>
      <c r="G58">
        <f t="shared" si="1"/>
        <v>0.71402500000000113</v>
      </c>
    </row>
    <row r="59" spans="1:7" x14ac:dyDescent="0.3">
      <c r="A59">
        <v>13</v>
      </c>
      <c r="G59">
        <f t="shared" si="1"/>
        <v>1.3340249999999985</v>
      </c>
    </row>
    <row r="60" spans="1:7" x14ac:dyDescent="0.3">
      <c r="A60">
        <v>19</v>
      </c>
      <c r="G60">
        <f t="shared" si="1"/>
        <v>51.194024999999989</v>
      </c>
    </row>
    <row r="61" spans="1:7" x14ac:dyDescent="0.3">
      <c r="A61">
        <v>10</v>
      </c>
      <c r="G61">
        <f t="shared" si="1"/>
        <v>3.4040250000000025</v>
      </c>
    </row>
    <row r="62" spans="1:7" x14ac:dyDescent="0.3">
      <c r="A62">
        <v>8</v>
      </c>
      <c r="G62">
        <f t="shared" si="1"/>
        <v>14.784025000000005</v>
      </c>
    </row>
    <row r="63" spans="1:7" x14ac:dyDescent="0.3">
      <c r="A63">
        <v>9</v>
      </c>
      <c r="G63">
        <f t="shared" si="1"/>
        <v>8.0940250000000038</v>
      </c>
    </row>
    <row r="64" spans="1:7" x14ac:dyDescent="0.3">
      <c r="A64">
        <v>11</v>
      </c>
      <c r="G64">
        <f t="shared" si="1"/>
        <v>0.71402500000000113</v>
      </c>
    </row>
    <row r="65" spans="1:7" x14ac:dyDescent="0.3">
      <c r="A65">
        <v>15</v>
      </c>
      <c r="G65">
        <f t="shared" si="1"/>
        <v>9.9540249999999961</v>
      </c>
    </row>
    <row r="66" spans="1:7" x14ac:dyDescent="0.3">
      <c r="A66">
        <v>11</v>
      </c>
      <c r="G66">
        <f t="shared" ref="G66:G129" si="7">(A66-$B$1)^2</f>
        <v>0.71402500000000113</v>
      </c>
    </row>
    <row r="67" spans="1:7" x14ac:dyDescent="0.3">
      <c r="A67">
        <v>7</v>
      </c>
      <c r="G67">
        <f t="shared" si="7"/>
        <v>23.474025000000005</v>
      </c>
    </row>
    <row r="68" spans="1:7" x14ac:dyDescent="0.3">
      <c r="A68">
        <v>10</v>
      </c>
      <c r="G68">
        <f t="shared" si="7"/>
        <v>3.4040250000000025</v>
      </c>
    </row>
    <row r="69" spans="1:7" x14ac:dyDescent="0.3">
      <c r="A69">
        <v>11</v>
      </c>
      <c r="G69">
        <f t="shared" si="7"/>
        <v>0.71402500000000113</v>
      </c>
    </row>
    <row r="70" spans="1:7" x14ac:dyDescent="0.3">
      <c r="A70">
        <v>13</v>
      </c>
      <c r="G70">
        <f t="shared" si="7"/>
        <v>1.3340249999999985</v>
      </c>
    </row>
    <row r="71" spans="1:7" x14ac:dyDescent="0.3">
      <c r="A71">
        <v>7</v>
      </c>
      <c r="G71">
        <f t="shared" si="7"/>
        <v>23.474025000000005</v>
      </c>
    </row>
    <row r="72" spans="1:7" x14ac:dyDescent="0.3">
      <c r="A72">
        <v>9</v>
      </c>
      <c r="G72">
        <f t="shared" si="7"/>
        <v>8.0940250000000038</v>
      </c>
    </row>
    <row r="73" spans="1:7" x14ac:dyDescent="0.3">
      <c r="A73">
        <v>11</v>
      </c>
      <c r="G73">
        <f t="shared" si="7"/>
        <v>0.71402500000000113</v>
      </c>
    </row>
    <row r="74" spans="1:7" x14ac:dyDescent="0.3">
      <c r="A74">
        <v>13</v>
      </c>
      <c r="G74">
        <f t="shared" si="7"/>
        <v>1.3340249999999985</v>
      </c>
    </row>
    <row r="75" spans="1:7" x14ac:dyDescent="0.3">
      <c r="A75">
        <v>9</v>
      </c>
      <c r="G75">
        <f t="shared" si="7"/>
        <v>8.0940250000000038</v>
      </c>
    </row>
    <row r="76" spans="1:7" x14ac:dyDescent="0.3">
      <c r="A76">
        <v>9</v>
      </c>
      <c r="G76">
        <f t="shared" si="7"/>
        <v>8.0940250000000038</v>
      </c>
    </row>
    <row r="77" spans="1:7" x14ac:dyDescent="0.3">
      <c r="A77">
        <v>10</v>
      </c>
      <c r="G77">
        <f t="shared" si="7"/>
        <v>3.4040250000000025</v>
      </c>
    </row>
    <row r="78" spans="1:7" x14ac:dyDescent="0.3">
      <c r="A78">
        <v>14</v>
      </c>
      <c r="G78">
        <f t="shared" si="7"/>
        <v>4.6440249999999974</v>
      </c>
    </row>
    <row r="79" spans="1:7" x14ac:dyDescent="0.3">
      <c r="A79">
        <v>12</v>
      </c>
      <c r="G79">
        <f t="shared" si="7"/>
        <v>2.4024999999999803E-2</v>
      </c>
    </row>
    <row r="80" spans="1:7" x14ac:dyDescent="0.3">
      <c r="A80">
        <v>15</v>
      </c>
      <c r="G80">
        <f t="shared" si="7"/>
        <v>9.9540249999999961</v>
      </c>
    </row>
    <row r="81" spans="1:7" x14ac:dyDescent="0.3">
      <c r="A81">
        <v>16</v>
      </c>
      <c r="G81">
        <f t="shared" si="7"/>
        <v>17.264024999999993</v>
      </c>
    </row>
    <row r="82" spans="1:7" x14ac:dyDescent="0.3">
      <c r="A82">
        <v>6</v>
      </c>
      <c r="G82">
        <f t="shared" si="7"/>
        <v>34.164025000000009</v>
      </c>
    </row>
    <row r="83" spans="1:7" x14ac:dyDescent="0.3">
      <c r="A83">
        <v>8</v>
      </c>
      <c r="G83">
        <f t="shared" si="7"/>
        <v>14.784025000000005</v>
      </c>
    </row>
    <row r="84" spans="1:7" x14ac:dyDescent="0.3">
      <c r="A84">
        <v>8</v>
      </c>
      <c r="G84">
        <f t="shared" si="7"/>
        <v>14.784025000000005</v>
      </c>
    </row>
    <row r="85" spans="1:7" x14ac:dyDescent="0.3">
      <c r="A85">
        <v>9</v>
      </c>
      <c r="G85">
        <f t="shared" si="7"/>
        <v>8.0940250000000038</v>
      </c>
    </row>
    <row r="86" spans="1:7" x14ac:dyDescent="0.3">
      <c r="A86">
        <v>14</v>
      </c>
      <c r="G86">
        <f t="shared" si="7"/>
        <v>4.6440249999999974</v>
      </c>
    </row>
    <row r="87" spans="1:7" x14ac:dyDescent="0.3">
      <c r="A87">
        <v>7</v>
      </c>
      <c r="G87">
        <f t="shared" si="7"/>
        <v>23.474025000000005</v>
      </c>
    </row>
    <row r="88" spans="1:7" x14ac:dyDescent="0.3">
      <c r="A88">
        <v>16</v>
      </c>
      <c r="G88">
        <f t="shared" si="7"/>
        <v>17.264024999999993</v>
      </c>
    </row>
    <row r="89" spans="1:7" x14ac:dyDescent="0.3">
      <c r="A89">
        <v>10</v>
      </c>
      <c r="G89">
        <f t="shared" si="7"/>
        <v>3.4040250000000025</v>
      </c>
    </row>
    <row r="90" spans="1:7" x14ac:dyDescent="0.3">
      <c r="A90">
        <v>14</v>
      </c>
      <c r="G90">
        <f t="shared" si="7"/>
        <v>4.6440249999999974</v>
      </c>
    </row>
    <row r="91" spans="1:7" x14ac:dyDescent="0.3">
      <c r="A91">
        <v>9</v>
      </c>
      <c r="G91">
        <f t="shared" si="7"/>
        <v>8.0940250000000038</v>
      </c>
    </row>
    <row r="92" spans="1:7" x14ac:dyDescent="0.3">
      <c r="A92">
        <v>10</v>
      </c>
      <c r="G92">
        <f t="shared" si="7"/>
        <v>3.4040250000000025</v>
      </c>
    </row>
    <row r="93" spans="1:7" x14ac:dyDescent="0.3">
      <c r="A93">
        <v>7</v>
      </c>
      <c r="G93">
        <f t="shared" si="7"/>
        <v>23.474025000000005</v>
      </c>
    </row>
    <row r="94" spans="1:7" x14ac:dyDescent="0.3">
      <c r="A94">
        <v>9</v>
      </c>
      <c r="G94">
        <f t="shared" si="7"/>
        <v>8.0940250000000038</v>
      </c>
    </row>
    <row r="95" spans="1:7" x14ac:dyDescent="0.3">
      <c r="A95">
        <v>11</v>
      </c>
      <c r="G95">
        <f t="shared" si="7"/>
        <v>0.71402500000000113</v>
      </c>
    </row>
    <row r="96" spans="1:7" x14ac:dyDescent="0.3">
      <c r="A96">
        <v>17</v>
      </c>
      <c r="G96">
        <f t="shared" si="7"/>
        <v>26.574024999999992</v>
      </c>
    </row>
    <row r="97" spans="1:7" x14ac:dyDescent="0.3">
      <c r="A97">
        <v>10</v>
      </c>
      <c r="G97">
        <f t="shared" si="7"/>
        <v>3.4040250000000025</v>
      </c>
    </row>
    <row r="98" spans="1:7" x14ac:dyDescent="0.3">
      <c r="A98">
        <v>10</v>
      </c>
      <c r="G98">
        <f t="shared" si="7"/>
        <v>3.4040250000000025</v>
      </c>
    </row>
    <row r="99" spans="1:7" x14ac:dyDescent="0.3">
      <c r="A99">
        <v>11</v>
      </c>
      <c r="G99">
        <f t="shared" si="7"/>
        <v>0.71402500000000113</v>
      </c>
    </row>
    <row r="100" spans="1:7" x14ac:dyDescent="0.3">
      <c r="A100">
        <v>8</v>
      </c>
      <c r="G100">
        <f t="shared" si="7"/>
        <v>14.784025000000005</v>
      </c>
    </row>
    <row r="101" spans="1:7" x14ac:dyDescent="0.3">
      <c r="A101">
        <v>16</v>
      </c>
      <c r="G101">
        <f t="shared" si="7"/>
        <v>17.264024999999993</v>
      </c>
    </row>
    <row r="102" spans="1:7" x14ac:dyDescent="0.3">
      <c r="A102">
        <v>9</v>
      </c>
      <c r="G102">
        <f t="shared" si="7"/>
        <v>8.0940250000000038</v>
      </c>
    </row>
    <row r="103" spans="1:7" x14ac:dyDescent="0.3">
      <c r="A103">
        <v>13</v>
      </c>
      <c r="G103">
        <f t="shared" si="7"/>
        <v>1.3340249999999985</v>
      </c>
    </row>
    <row r="104" spans="1:7" x14ac:dyDescent="0.3">
      <c r="A104">
        <v>13</v>
      </c>
      <c r="G104">
        <f t="shared" si="7"/>
        <v>1.3340249999999985</v>
      </c>
    </row>
    <row r="105" spans="1:7" x14ac:dyDescent="0.3">
      <c r="A105">
        <v>18</v>
      </c>
      <c r="G105">
        <f t="shared" si="7"/>
        <v>37.884024999999994</v>
      </c>
    </row>
    <row r="106" spans="1:7" x14ac:dyDescent="0.3">
      <c r="A106">
        <v>12</v>
      </c>
      <c r="G106">
        <f t="shared" si="7"/>
        <v>2.4024999999999803E-2</v>
      </c>
    </row>
    <row r="107" spans="1:7" x14ac:dyDescent="0.3">
      <c r="A107">
        <v>12</v>
      </c>
      <c r="G107">
        <f t="shared" si="7"/>
        <v>2.4024999999999803E-2</v>
      </c>
    </row>
    <row r="108" spans="1:7" x14ac:dyDescent="0.3">
      <c r="A108">
        <v>16</v>
      </c>
      <c r="G108">
        <f t="shared" si="7"/>
        <v>17.264024999999993</v>
      </c>
    </row>
    <row r="109" spans="1:7" x14ac:dyDescent="0.3">
      <c r="A109">
        <v>8</v>
      </c>
      <c r="G109">
        <f t="shared" si="7"/>
        <v>14.784025000000005</v>
      </c>
    </row>
    <row r="110" spans="1:7" x14ac:dyDescent="0.3">
      <c r="A110">
        <v>16</v>
      </c>
      <c r="G110">
        <f t="shared" si="7"/>
        <v>17.264024999999993</v>
      </c>
    </row>
    <row r="111" spans="1:7" x14ac:dyDescent="0.3">
      <c r="A111">
        <v>15</v>
      </c>
      <c r="G111">
        <f t="shared" si="7"/>
        <v>9.9540249999999961</v>
      </c>
    </row>
    <row r="112" spans="1:7" x14ac:dyDescent="0.3">
      <c r="A112">
        <v>7</v>
      </c>
      <c r="G112">
        <f t="shared" si="7"/>
        <v>23.474025000000005</v>
      </c>
    </row>
    <row r="113" spans="1:7" x14ac:dyDescent="0.3">
      <c r="A113">
        <v>17</v>
      </c>
      <c r="G113">
        <f t="shared" si="7"/>
        <v>26.574024999999992</v>
      </c>
    </row>
    <row r="114" spans="1:7" x14ac:dyDescent="0.3">
      <c r="A114">
        <v>10</v>
      </c>
      <c r="G114">
        <f t="shared" si="7"/>
        <v>3.4040250000000025</v>
      </c>
    </row>
    <row r="115" spans="1:7" x14ac:dyDescent="0.3">
      <c r="A115">
        <v>17</v>
      </c>
      <c r="G115">
        <f t="shared" si="7"/>
        <v>26.574024999999992</v>
      </c>
    </row>
    <row r="116" spans="1:7" x14ac:dyDescent="0.3">
      <c r="A116">
        <v>11</v>
      </c>
      <c r="G116">
        <f t="shared" si="7"/>
        <v>0.71402500000000113</v>
      </c>
    </row>
    <row r="117" spans="1:7" x14ac:dyDescent="0.3">
      <c r="A117">
        <v>10</v>
      </c>
      <c r="G117">
        <f t="shared" si="7"/>
        <v>3.4040250000000025</v>
      </c>
    </row>
    <row r="118" spans="1:7" x14ac:dyDescent="0.3">
      <c r="A118">
        <v>16</v>
      </c>
      <c r="G118">
        <f t="shared" si="7"/>
        <v>17.264024999999993</v>
      </c>
    </row>
    <row r="119" spans="1:7" x14ac:dyDescent="0.3">
      <c r="A119">
        <v>10</v>
      </c>
      <c r="G119">
        <f t="shared" si="7"/>
        <v>3.4040250000000025</v>
      </c>
    </row>
    <row r="120" spans="1:7" x14ac:dyDescent="0.3">
      <c r="A120">
        <v>12</v>
      </c>
      <c r="G120">
        <f t="shared" si="7"/>
        <v>2.4024999999999803E-2</v>
      </c>
    </row>
    <row r="121" spans="1:7" x14ac:dyDescent="0.3">
      <c r="A121">
        <v>10</v>
      </c>
      <c r="G121">
        <f t="shared" si="7"/>
        <v>3.4040250000000025</v>
      </c>
    </row>
    <row r="122" spans="1:7" x14ac:dyDescent="0.3">
      <c r="A122">
        <v>10</v>
      </c>
      <c r="G122">
        <f t="shared" si="7"/>
        <v>3.4040250000000025</v>
      </c>
    </row>
    <row r="123" spans="1:7" x14ac:dyDescent="0.3">
      <c r="A123">
        <v>15</v>
      </c>
      <c r="G123">
        <f t="shared" si="7"/>
        <v>9.9540249999999961</v>
      </c>
    </row>
    <row r="124" spans="1:7" x14ac:dyDescent="0.3">
      <c r="A124">
        <v>11</v>
      </c>
      <c r="G124">
        <f t="shared" si="7"/>
        <v>0.71402500000000113</v>
      </c>
    </row>
    <row r="125" spans="1:7" x14ac:dyDescent="0.3">
      <c r="A125">
        <v>16</v>
      </c>
      <c r="G125">
        <f t="shared" si="7"/>
        <v>17.264024999999993</v>
      </c>
    </row>
    <row r="126" spans="1:7" x14ac:dyDescent="0.3">
      <c r="A126">
        <v>15</v>
      </c>
      <c r="G126">
        <f t="shared" si="7"/>
        <v>9.9540249999999961</v>
      </c>
    </row>
    <row r="127" spans="1:7" x14ac:dyDescent="0.3">
      <c r="A127">
        <v>10</v>
      </c>
      <c r="G127">
        <f t="shared" si="7"/>
        <v>3.4040250000000025</v>
      </c>
    </row>
    <row r="128" spans="1:7" x14ac:dyDescent="0.3">
      <c r="A128">
        <v>8</v>
      </c>
      <c r="G128">
        <f t="shared" si="7"/>
        <v>14.784025000000005</v>
      </c>
    </row>
    <row r="129" spans="1:7" x14ac:dyDescent="0.3">
      <c r="A129">
        <v>11</v>
      </c>
      <c r="G129">
        <f t="shared" si="7"/>
        <v>0.71402500000000113</v>
      </c>
    </row>
    <row r="130" spans="1:7" x14ac:dyDescent="0.3">
      <c r="A130">
        <v>15</v>
      </c>
      <c r="G130">
        <f t="shared" ref="G130:G193" si="8">(A130-$B$1)^2</f>
        <v>9.9540249999999961</v>
      </c>
    </row>
    <row r="131" spans="1:7" x14ac:dyDescent="0.3">
      <c r="A131">
        <v>13</v>
      </c>
      <c r="G131">
        <f t="shared" si="8"/>
        <v>1.3340249999999985</v>
      </c>
    </row>
    <row r="132" spans="1:7" x14ac:dyDescent="0.3">
      <c r="A132">
        <v>13</v>
      </c>
      <c r="G132">
        <f t="shared" si="8"/>
        <v>1.3340249999999985</v>
      </c>
    </row>
    <row r="133" spans="1:7" x14ac:dyDescent="0.3">
      <c r="A133">
        <v>10</v>
      </c>
      <c r="G133">
        <f t="shared" si="8"/>
        <v>3.4040250000000025</v>
      </c>
    </row>
    <row r="134" spans="1:7" x14ac:dyDescent="0.3">
      <c r="A134">
        <v>8</v>
      </c>
      <c r="G134">
        <f t="shared" si="8"/>
        <v>14.784025000000005</v>
      </c>
    </row>
    <row r="135" spans="1:7" x14ac:dyDescent="0.3">
      <c r="A135">
        <v>16</v>
      </c>
      <c r="G135">
        <f t="shared" si="8"/>
        <v>17.264024999999993</v>
      </c>
    </row>
    <row r="136" spans="1:7" x14ac:dyDescent="0.3">
      <c r="A136">
        <v>9</v>
      </c>
      <c r="G136">
        <f t="shared" si="8"/>
        <v>8.0940250000000038</v>
      </c>
    </row>
    <row r="137" spans="1:7" x14ac:dyDescent="0.3">
      <c r="A137">
        <v>14</v>
      </c>
      <c r="G137">
        <f t="shared" si="8"/>
        <v>4.6440249999999974</v>
      </c>
    </row>
    <row r="138" spans="1:7" x14ac:dyDescent="0.3">
      <c r="A138">
        <v>8</v>
      </c>
      <c r="G138">
        <f t="shared" si="8"/>
        <v>14.784025000000005</v>
      </c>
    </row>
    <row r="139" spans="1:7" x14ac:dyDescent="0.3">
      <c r="A139">
        <v>13</v>
      </c>
      <c r="G139">
        <f t="shared" si="8"/>
        <v>1.3340249999999985</v>
      </c>
    </row>
    <row r="140" spans="1:7" x14ac:dyDescent="0.3">
      <c r="A140">
        <v>13</v>
      </c>
      <c r="G140">
        <f t="shared" si="8"/>
        <v>1.3340249999999985</v>
      </c>
    </row>
    <row r="141" spans="1:7" x14ac:dyDescent="0.3">
      <c r="A141">
        <v>12</v>
      </c>
      <c r="G141">
        <f t="shared" si="8"/>
        <v>2.4024999999999803E-2</v>
      </c>
    </row>
    <row r="142" spans="1:7" x14ac:dyDescent="0.3">
      <c r="A142">
        <v>11</v>
      </c>
      <c r="G142">
        <f t="shared" si="8"/>
        <v>0.71402500000000113</v>
      </c>
    </row>
    <row r="143" spans="1:7" x14ac:dyDescent="0.3">
      <c r="A143">
        <v>10</v>
      </c>
      <c r="G143">
        <f t="shared" si="8"/>
        <v>3.4040250000000025</v>
      </c>
    </row>
    <row r="144" spans="1:7" x14ac:dyDescent="0.3">
      <c r="A144">
        <v>10</v>
      </c>
      <c r="G144">
        <f t="shared" si="8"/>
        <v>3.4040250000000025</v>
      </c>
    </row>
    <row r="145" spans="1:7" x14ac:dyDescent="0.3">
      <c r="A145">
        <v>19</v>
      </c>
      <c r="G145">
        <f t="shared" si="8"/>
        <v>51.194024999999989</v>
      </c>
    </row>
    <row r="146" spans="1:7" x14ac:dyDescent="0.3">
      <c r="A146">
        <v>11</v>
      </c>
      <c r="G146">
        <f t="shared" si="8"/>
        <v>0.71402500000000113</v>
      </c>
    </row>
    <row r="147" spans="1:7" x14ac:dyDescent="0.3">
      <c r="A147">
        <v>10</v>
      </c>
      <c r="G147">
        <f t="shared" si="8"/>
        <v>3.4040250000000025</v>
      </c>
    </row>
    <row r="148" spans="1:7" x14ac:dyDescent="0.3">
      <c r="A148">
        <v>8</v>
      </c>
      <c r="G148">
        <f t="shared" si="8"/>
        <v>14.784025000000005</v>
      </c>
    </row>
    <row r="149" spans="1:7" x14ac:dyDescent="0.3">
      <c r="A149">
        <v>11</v>
      </c>
      <c r="G149">
        <f t="shared" si="8"/>
        <v>0.71402500000000113</v>
      </c>
    </row>
    <row r="150" spans="1:7" x14ac:dyDescent="0.3">
      <c r="A150">
        <v>11</v>
      </c>
      <c r="G150">
        <f t="shared" si="8"/>
        <v>0.71402500000000113</v>
      </c>
    </row>
    <row r="151" spans="1:7" x14ac:dyDescent="0.3">
      <c r="A151">
        <v>9</v>
      </c>
      <c r="G151">
        <f t="shared" si="8"/>
        <v>8.0940250000000038</v>
      </c>
    </row>
    <row r="152" spans="1:7" x14ac:dyDescent="0.3">
      <c r="A152">
        <v>21</v>
      </c>
      <c r="G152">
        <f t="shared" si="8"/>
        <v>83.814024999999987</v>
      </c>
    </row>
    <row r="153" spans="1:7" x14ac:dyDescent="0.3">
      <c r="A153">
        <v>8</v>
      </c>
      <c r="G153">
        <f t="shared" si="8"/>
        <v>14.784025000000005</v>
      </c>
    </row>
    <row r="154" spans="1:7" x14ac:dyDescent="0.3">
      <c r="A154">
        <v>17</v>
      </c>
      <c r="G154">
        <f t="shared" si="8"/>
        <v>26.574024999999992</v>
      </c>
    </row>
    <row r="155" spans="1:7" x14ac:dyDescent="0.3">
      <c r="A155">
        <v>5</v>
      </c>
      <c r="G155">
        <f t="shared" si="8"/>
        <v>46.854025000000007</v>
      </c>
    </row>
    <row r="156" spans="1:7" x14ac:dyDescent="0.3">
      <c r="A156">
        <v>12</v>
      </c>
      <c r="G156">
        <f t="shared" si="8"/>
        <v>2.4024999999999803E-2</v>
      </c>
    </row>
    <row r="157" spans="1:7" x14ac:dyDescent="0.3">
      <c r="A157">
        <v>12</v>
      </c>
      <c r="G157">
        <f t="shared" si="8"/>
        <v>2.4024999999999803E-2</v>
      </c>
    </row>
    <row r="158" spans="1:7" x14ac:dyDescent="0.3">
      <c r="A158">
        <v>11</v>
      </c>
      <c r="G158">
        <f t="shared" si="8"/>
        <v>0.71402500000000113</v>
      </c>
    </row>
    <row r="159" spans="1:7" x14ac:dyDescent="0.3">
      <c r="A159">
        <v>10</v>
      </c>
      <c r="G159">
        <f t="shared" si="8"/>
        <v>3.4040250000000025</v>
      </c>
    </row>
    <row r="160" spans="1:7" x14ac:dyDescent="0.3">
      <c r="A160">
        <v>22</v>
      </c>
      <c r="G160">
        <f t="shared" si="8"/>
        <v>103.12402499999999</v>
      </c>
    </row>
    <row r="161" spans="1:7" x14ac:dyDescent="0.3">
      <c r="A161">
        <v>18</v>
      </c>
      <c r="G161">
        <f t="shared" si="8"/>
        <v>37.884024999999994</v>
      </c>
    </row>
    <row r="162" spans="1:7" x14ac:dyDescent="0.3">
      <c r="A162">
        <v>9</v>
      </c>
      <c r="G162">
        <f t="shared" si="8"/>
        <v>8.0940250000000038</v>
      </c>
    </row>
    <row r="163" spans="1:7" x14ac:dyDescent="0.3">
      <c r="A163">
        <v>13</v>
      </c>
      <c r="G163">
        <f t="shared" si="8"/>
        <v>1.3340249999999985</v>
      </c>
    </row>
    <row r="164" spans="1:7" x14ac:dyDescent="0.3">
      <c r="A164">
        <v>7</v>
      </c>
      <c r="G164">
        <f t="shared" si="8"/>
        <v>23.474025000000005</v>
      </c>
    </row>
    <row r="165" spans="1:7" x14ac:dyDescent="0.3">
      <c r="A165">
        <v>6</v>
      </c>
      <c r="G165">
        <f t="shared" si="8"/>
        <v>34.164025000000009</v>
      </c>
    </row>
    <row r="166" spans="1:7" x14ac:dyDescent="0.3">
      <c r="A166">
        <v>12</v>
      </c>
      <c r="G166">
        <f t="shared" si="8"/>
        <v>2.4024999999999803E-2</v>
      </c>
    </row>
    <row r="167" spans="1:7" x14ac:dyDescent="0.3">
      <c r="A167">
        <v>15</v>
      </c>
      <c r="G167">
        <f t="shared" si="8"/>
        <v>9.9540249999999961</v>
      </c>
    </row>
    <row r="168" spans="1:7" x14ac:dyDescent="0.3">
      <c r="A168">
        <v>6</v>
      </c>
      <c r="G168">
        <f t="shared" si="8"/>
        <v>34.164025000000009</v>
      </c>
    </row>
    <row r="169" spans="1:7" x14ac:dyDescent="0.3">
      <c r="A169">
        <v>22</v>
      </c>
      <c r="G169">
        <f t="shared" si="8"/>
        <v>103.12402499999999</v>
      </c>
    </row>
    <row r="170" spans="1:7" x14ac:dyDescent="0.3">
      <c r="A170">
        <v>16</v>
      </c>
      <c r="G170">
        <f t="shared" si="8"/>
        <v>17.264024999999993</v>
      </c>
    </row>
    <row r="171" spans="1:7" x14ac:dyDescent="0.3">
      <c r="A171">
        <v>11</v>
      </c>
      <c r="G171">
        <f t="shared" si="8"/>
        <v>0.71402500000000113</v>
      </c>
    </row>
    <row r="172" spans="1:7" x14ac:dyDescent="0.3">
      <c r="A172">
        <v>12</v>
      </c>
      <c r="G172">
        <f t="shared" si="8"/>
        <v>2.4024999999999803E-2</v>
      </c>
    </row>
    <row r="173" spans="1:7" x14ac:dyDescent="0.3">
      <c r="A173">
        <v>11</v>
      </c>
      <c r="G173">
        <f t="shared" si="8"/>
        <v>0.71402500000000113</v>
      </c>
    </row>
    <row r="174" spans="1:7" x14ac:dyDescent="0.3">
      <c r="A174">
        <v>14</v>
      </c>
      <c r="G174">
        <f t="shared" si="8"/>
        <v>4.6440249999999974</v>
      </c>
    </row>
    <row r="175" spans="1:7" x14ac:dyDescent="0.3">
      <c r="A175">
        <v>10</v>
      </c>
      <c r="G175">
        <f t="shared" si="8"/>
        <v>3.4040250000000025</v>
      </c>
    </row>
    <row r="176" spans="1:7" x14ac:dyDescent="0.3">
      <c r="A176">
        <v>5</v>
      </c>
      <c r="G176">
        <f t="shared" si="8"/>
        <v>46.854025000000007</v>
      </c>
    </row>
    <row r="177" spans="1:7" x14ac:dyDescent="0.3">
      <c r="A177">
        <v>18</v>
      </c>
      <c r="G177">
        <f t="shared" si="8"/>
        <v>37.884024999999994</v>
      </c>
    </row>
    <row r="178" spans="1:7" x14ac:dyDescent="0.3">
      <c r="A178">
        <v>12</v>
      </c>
      <c r="G178">
        <f t="shared" si="8"/>
        <v>2.4024999999999803E-2</v>
      </c>
    </row>
    <row r="179" spans="1:7" x14ac:dyDescent="0.3">
      <c r="A179">
        <v>10</v>
      </c>
      <c r="G179">
        <f t="shared" si="8"/>
        <v>3.4040250000000025</v>
      </c>
    </row>
    <row r="180" spans="1:7" x14ac:dyDescent="0.3">
      <c r="A180">
        <v>8</v>
      </c>
      <c r="G180">
        <f t="shared" si="8"/>
        <v>14.784025000000005</v>
      </c>
    </row>
    <row r="181" spans="1:7" x14ac:dyDescent="0.3">
      <c r="A181">
        <v>7</v>
      </c>
      <c r="G181">
        <f t="shared" si="8"/>
        <v>23.474025000000005</v>
      </c>
    </row>
    <row r="182" spans="1:7" x14ac:dyDescent="0.3">
      <c r="A182">
        <v>9</v>
      </c>
      <c r="G182">
        <f t="shared" si="8"/>
        <v>8.0940250000000038</v>
      </c>
    </row>
    <row r="183" spans="1:7" x14ac:dyDescent="0.3">
      <c r="A183">
        <v>15</v>
      </c>
      <c r="G183">
        <f t="shared" si="8"/>
        <v>9.9540249999999961</v>
      </c>
    </row>
    <row r="184" spans="1:7" x14ac:dyDescent="0.3">
      <c r="A184">
        <v>15</v>
      </c>
      <c r="G184">
        <f t="shared" si="8"/>
        <v>9.9540249999999961</v>
      </c>
    </row>
    <row r="185" spans="1:7" x14ac:dyDescent="0.3">
      <c r="A185">
        <v>17</v>
      </c>
      <c r="G185">
        <f t="shared" si="8"/>
        <v>26.574024999999992</v>
      </c>
    </row>
    <row r="186" spans="1:7" x14ac:dyDescent="0.3">
      <c r="A186">
        <v>10</v>
      </c>
      <c r="G186">
        <f t="shared" si="8"/>
        <v>3.4040250000000025</v>
      </c>
    </row>
    <row r="187" spans="1:7" x14ac:dyDescent="0.3">
      <c r="A187">
        <v>9</v>
      </c>
      <c r="G187">
        <f t="shared" si="8"/>
        <v>8.0940250000000038</v>
      </c>
    </row>
    <row r="188" spans="1:7" x14ac:dyDescent="0.3">
      <c r="A188">
        <v>13</v>
      </c>
      <c r="G188">
        <f t="shared" si="8"/>
        <v>1.3340249999999985</v>
      </c>
    </row>
    <row r="189" spans="1:7" x14ac:dyDescent="0.3">
      <c r="A189">
        <v>11</v>
      </c>
      <c r="G189">
        <f t="shared" si="8"/>
        <v>0.71402500000000113</v>
      </c>
    </row>
    <row r="190" spans="1:7" x14ac:dyDescent="0.3">
      <c r="A190">
        <v>9</v>
      </c>
      <c r="G190">
        <f t="shared" si="8"/>
        <v>8.0940250000000038</v>
      </c>
    </row>
    <row r="191" spans="1:7" x14ac:dyDescent="0.3">
      <c r="A191">
        <v>12</v>
      </c>
      <c r="G191">
        <f t="shared" si="8"/>
        <v>2.4024999999999803E-2</v>
      </c>
    </row>
    <row r="192" spans="1:7" x14ac:dyDescent="0.3">
      <c r="A192">
        <v>22</v>
      </c>
      <c r="G192">
        <f t="shared" si="8"/>
        <v>103.12402499999999</v>
      </c>
    </row>
    <row r="193" spans="1:7" x14ac:dyDescent="0.3">
      <c r="A193">
        <v>15</v>
      </c>
      <c r="G193">
        <f t="shared" si="8"/>
        <v>9.9540249999999961</v>
      </c>
    </row>
    <row r="194" spans="1:7" x14ac:dyDescent="0.3">
      <c r="A194">
        <v>10</v>
      </c>
      <c r="G194">
        <f t="shared" ref="G194:G257" si="9">(A194-$B$1)^2</f>
        <v>3.4040250000000025</v>
      </c>
    </row>
    <row r="195" spans="1:7" x14ac:dyDescent="0.3">
      <c r="A195">
        <v>8</v>
      </c>
      <c r="G195">
        <f t="shared" si="9"/>
        <v>14.784025000000005</v>
      </c>
    </row>
    <row r="196" spans="1:7" x14ac:dyDescent="0.3">
      <c r="A196">
        <v>15</v>
      </c>
      <c r="G196">
        <f t="shared" si="9"/>
        <v>9.9540249999999961</v>
      </c>
    </row>
    <row r="197" spans="1:7" x14ac:dyDescent="0.3">
      <c r="A197">
        <v>9</v>
      </c>
      <c r="G197">
        <f t="shared" si="9"/>
        <v>8.0940250000000038</v>
      </c>
    </row>
    <row r="198" spans="1:7" x14ac:dyDescent="0.3">
      <c r="A198">
        <v>13</v>
      </c>
      <c r="G198">
        <f t="shared" si="9"/>
        <v>1.3340249999999985</v>
      </c>
    </row>
    <row r="199" spans="1:7" x14ac:dyDescent="0.3">
      <c r="A199">
        <v>18</v>
      </c>
      <c r="G199">
        <f t="shared" si="9"/>
        <v>37.884024999999994</v>
      </c>
    </row>
    <row r="200" spans="1:7" x14ac:dyDescent="0.3">
      <c r="A200">
        <v>18</v>
      </c>
      <c r="G200">
        <f t="shared" si="9"/>
        <v>37.884024999999994</v>
      </c>
    </row>
    <row r="201" spans="1:7" x14ac:dyDescent="0.3">
      <c r="A201">
        <v>13</v>
      </c>
      <c r="G201">
        <f t="shared" si="9"/>
        <v>1.3340249999999985</v>
      </c>
    </row>
    <row r="202" spans="1:7" x14ac:dyDescent="0.3">
      <c r="A202">
        <v>12</v>
      </c>
      <c r="G202">
        <f t="shared" si="9"/>
        <v>2.4024999999999803E-2</v>
      </c>
    </row>
    <row r="203" spans="1:7" x14ac:dyDescent="0.3">
      <c r="A203">
        <v>10</v>
      </c>
      <c r="G203">
        <f t="shared" si="9"/>
        <v>3.4040250000000025</v>
      </c>
    </row>
    <row r="204" spans="1:7" x14ac:dyDescent="0.3">
      <c r="A204">
        <v>16</v>
      </c>
      <c r="G204">
        <f t="shared" si="9"/>
        <v>17.264024999999993</v>
      </c>
    </row>
    <row r="205" spans="1:7" x14ac:dyDescent="0.3">
      <c r="A205">
        <v>12</v>
      </c>
      <c r="G205">
        <f t="shared" si="9"/>
        <v>2.4024999999999803E-2</v>
      </c>
    </row>
    <row r="206" spans="1:7" x14ac:dyDescent="0.3">
      <c r="A206">
        <v>17</v>
      </c>
      <c r="G206">
        <f t="shared" si="9"/>
        <v>26.574024999999992</v>
      </c>
    </row>
    <row r="207" spans="1:7" x14ac:dyDescent="0.3">
      <c r="A207">
        <v>11</v>
      </c>
      <c r="G207">
        <f t="shared" si="9"/>
        <v>0.71402500000000113</v>
      </c>
    </row>
    <row r="208" spans="1:7" x14ac:dyDescent="0.3">
      <c r="A208">
        <v>14</v>
      </c>
      <c r="G208">
        <f t="shared" si="9"/>
        <v>4.6440249999999974</v>
      </c>
    </row>
    <row r="209" spans="1:7" x14ac:dyDescent="0.3">
      <c r="A209">
        <v>8</v>
      </c>
      <c r="G209">
        <f t="shared" si="9"/>
        <v>14.784025000000005</v>
      </c>
    </row>
    <row r="210" spans="1:7" x14ac:dyDescent="0.3">
      <c r="A210">
        <v>10</v>
      </c>
      <c r="G210">
        <f t="shared" si="9"/>
        <v>3.4040250000000025</v>
      </c>
    </row>
    <row r="211" spans="1:7" x14ac:dyDescent="0.3">
      <c r="A211">
        <v>13</v>
      </c>
      <c r="G211">
        <f t="shared" si="9"/>
        <v>1.3340249999999985</v>
      </c>
    </row>
    <row r="212" spans="1:7" x14ac:dyDescent="0.3">
      <c r="A212">
        <v>7</v>
      </c>
      <c r="G212">
        <f t="shared" si="9"/>
        <v>23.474025000000005</v>
      </c>
    </row>
    <row r="213" spans="1:7" x14ac:dyDescent="0.3">
      <c r="A213">
        <v>13</v>
      </c>
      <c r="G213">
        <f t="shared" si="9"/>
        <v>1.3340249999999985</v>
      </c>
    </row>
    <row r="214" spans="1:7" x14ac:dyDescent="0.3">
      <c r="A214">
        <v>10</v>
      </c>
      <c r="G214">
        <f t="shared" si="9"/>
        <v>3.4040250000000025</v>
      </c>
    </row>
    <row r="215" spans="1:7" x14ac:dyDescent="0.3">
      <c r="A215">
        <v>13</v>
      </c>
      <c r="G215">
        <f t="shared" si="9"/>
        <v>1.3340249999999985</v>
      </c>
    </row>
    <row r="216" spans="1:7" x14ac:dyDescent="0.3">
      <c r="A216">
        <v>16</v>
      </c>
      <c r="G216">
        <f t="shared" si="9"/>
        <v>17.264024999999993</v>
      </c>
    </row>
    <row r="217" spans="1:7" x14ac:dyDescent="0.3">
      <c r="A217">
        <v>16</v>
      </c>
      <c r="G217">
        <f t="shared" si="9"/>
        <v>17.264024999999993</v>
      </c>
    </row>
    <row r="218" spans="1:7" x14ac:dyDescent="0.3">
      <c r="A218">
        <v>12</v>
      </c>
      <c r="G218">
        <f t="shared" si="9"/>
        <v>2.4024999999999803E-2</v>
      </c>
    </row>
    <row r="219" spans="1:7" x14ac:dyDescent="0.3">
      <c r="A219">
        <v>14</v>
      </c>
      <c r="G219">
        <f t="shared" si="9"/>
        <v>4.6440249999999974</v>
      </c>
    </row>
    <row r="220" spans="1:7" x14ac:dyDescent="0.3">
      <c r="A220">
        <v>13</v>
      </c>
      <c r="G220">
        <f t="shared" si="9"/>
        <v>1.3340249999999985</v>
      </c>
    </row>
    <row r="221" spans="1:7" x14ac:dyDescent="0.3">
      <c r="A221">
        <v>15</v>
      </c>
      <c r="G221">
        <f t="shared" si="9"/>
        <v>9.9540249999999961</v>
      </c>
    </row>
    <row r="222" spans="1:7" x14ac:dyDescent="0.3">
      <c r="A222">
        <v>12</v>
      </c>
      <c r="G222">
        <f t="shared" si="9"/>
        <v>2.4024999999999803E-2</v>
      </c>
    </row>
    <row r="223" spans="1:7" x14ac:dyDescent="0.3">
      <c r="A223">
        <v>8</v>
      </c>
      <c r="G223">
        <f t="shared" si="9"/>
        <v>14.784025000000005</v>
      </c>
    </row>
    <row r="224" spans="1:7" x14ac:dyDescent="0.3">
      <c r="A224">
        <v>17</v>
      </c>
      <c r="G224">
        <f t="shared" si="9"/>
        <v>26.574024999999992</v>
      </c>
    </row>
    <row r="225" spans="1:7" x14ac:dyDescent="0.3">
      <c r="A225">
        <v>11</v>
      </c>
      <c r="G225">
        <f t="shared" si="9"/>
        <v>0.71402500000000113</v>
      </c>
    </row>
    <row r="226" spans="1:7" x14ac:dyDescent="0.3">
      <c r="A226">
        <v>10</v>
      </c>
      <c r="G226">
        <f t="shared" si="9"/>
        <v>3.4040250000000025</v>
      </c>
    </row>
    <row r="227" spans="1:7" x14ac:dyDescent="0.3">
      <c r="A227">
        <v>15</v>
      </c>
      <c r="G227">
        <f t="shared" si="9"/>
        <v>9.9540249999999961</v>
      </c>
    </row>
    <row r="228" spans="1:7" x14ac:dyDescent="0.3">
      <c r="A228">
        <v>14</v>
      </c>
      <c r="G228">
        <f t="shared" si="9"/>
        <v>4.6440249999999974</v>
      </c>
    </row>
    <row r="229" spans="1:7" x14ac:dyDescent="0.3">
      <c r="A229">
        <v>13</v>
      </c>
      <c r="G229">
        <f t="shared" si="9"/>
        <v>1.3340249999999985</v>
      </c>
    </row>
    <row r="230" spans="1:7" x14ac:dyDescent="0.3">
      <c r="A230">
        <v>10</v>
      </c>
      <c r="G230">
        <f t="shared" si="9"/>
        <v>3.4040250000000025</v>
      </c>
    </row>
    <row r="231" spans="1:7" x14ac:dyDescent="0.3">
      <c r="A231">
        <v>7</v>
      </c>
      <c r="G231">
        <f t="shared" si="9"/>
        <v>23.474025000000005</v>
      </c>
    </row>
    <row r="232" spans="1:7" x14ac:dyDescent="0.3">
      <c r="A232">
        <v>11</v>
      </c>
      <c r="G232">
        <f t="shared" si="9"/>
        <v>0.71402500000000113</v>
      </c>
    </row>
    <row r="233" spans="1:7" x14ac:dyDescent="0.3">
      <c r="A233">
        <v>11</v>
      </c>
      <c r="G233">
        <f t="shared" si="9"/>
        <v>0.71402500000000113</v>
      </c>
    </row>
    <row r="234" spans="1:7" x14ac:dyDescent="0.3">
      <c r="A234">
        <v>6</v>
      </c>
      <c r="G234">
        <f t="shared" si="9"/>
        <v>34.164025000000009</v>
      </c>
    </row>
    <row r="235" spans="1:7" x14ac:dyDescent="0.3">
      <c r="A235">
        <v>9</v>
      </c>
      <c r="G235">
        <f t="shared" si="9"/>
        <v>8.0940250000000038</v>
      </c>
    </row>
    <row r="236" spans="1:7" x14ac:dyDescent="0.3">
      <c r="A236">
        <v>11</v>
      </c>
      <c r="G236">
        <f t="shared" si="9"/>
        <v>0.71402500000000113</v>
      </c>
    </row>
    <row r="237" spans="1:7" x14ac:dyDescent="0.3">
      <c r="A237">
        <v>19</v>
      </c>
      <c r="G237">
        <f t="shared" si="9"/>
        <v>51.194024999999989</v>
      </c>
    </row>
    <row r="238" spans="1:7" x14ac:dyDescent="0.3">
      <c r="A238">
        <v>6</v>
      </c>
      <c r="G238">
        <f t="shared" si="9"/>
        <v>34.164025000000009</v>
      </c>
    </row>
    <row r="239" spans="1:7" x14ac:dyDescent="0.3">
      <c r="A239">
        <v>13</v>
      </c>
      <c r="G239">
        <f t="shared" si="9"/>
        <v>1.3340249999999985</v>
      </c>
    </row>
    <row r="240" spans="1:7" x14ac:dyDescent="0.3">
      <c r="A240">
        <v>5</v>
      </c>
      <c r="G240">
        <f t="shared" si="9"/>
        <v>46.854025000000007</v>
      </c>
    </row>
    <row r="241" spans="1:7" x14ac:dyDescent="0.3">
      <c r="A241">
        <v>16</v>
      </c>
      <c r="G241">
        <f t="shared" si="9"/>
        <v>17.264024999999993</v>
      </c>
    </row>
    <row r="242" spans="1:7" x14ac:dyDescent="0.3">
      <c r="A242">
        <v>7</v>
      </c>
      <c r="G242">
        <f t="shared" si="9"/>
        <v>23.474025000000005</v>
      </c>
    </row>
    <row r="243" spans="1:7" x14ac:dyDescent="0.3">
      <c r="A243">
        <v>14</v>
      </c>
      <c r="G243">
        <f t="shared" si="9"/>
        <v>4.6440249999999974</v>
      </c>
    </row>
    <row r="244" spans="1:7" x14ac:dyDescent="0.3">
      <c r="A244">
        <v>15</v>
      </c>
      <c r="G244">
        <f t="shared" si="9"/>
        <v>9.9540249999999961</v>
      </c>
    </row>
    <row r="245" spans="1:7" x14ac:dyDescent="0.3">
      <c r="A245">
        <v>12</v>
      </c>
      <c r="G245">
        <f t="shared" si="9"/>
        <v>2.4024999999999803E-2</v>
      </c>
    </row>
    <row r="246" spans="1:7" x14ac:dyDescent="0.3">
      <c r="A246">
        <v>16</v>
      </c>
      <c r="G246">
        <f t="shared" si="9"/>
        <v>17.264024999999993</v>
      </c>
    </row>
    <row r="247" spans="1:7" x14ac:dyDescent="0.3">
      <c r="A247">
        <v>14</v>
      </c>
      <c r="G247">
        <f t="shared" si="9"/>
        <v>4.6440249999999974</v>
      </c>
    </row>
    <row r="248" spans="1:7" x14ac:dyDescent="0.3">
      <c r="A248">
        <v>14</v>
      </c>
      <c r="G248">
        <f t="shared" si="9"/>
        <v>4.6440249999999974</v>
      </c>
    </row>
    <row r="249" spans="1:7" x14ac:dyDescent="0.3">
      <c r="A249">
        <v>9</v>
      </c>
      <c r="G249">
        <f t="shared" si="9"/>
        <v>8.0940250000000038</v>
      </c>
    </row>
    <row r="250" spans="1:7" x14ac:dyDescent="0.3">
      <c r="A250">
        <v>10</v>
      </c>
      <c r="G250">
        <f t="shared" si="9"/>
        <v>3.4040250000000025</v>
      </c>
    </row>
    <row r="251" spans="1:7" x14ac:dyDescent="0.3">
      <c r="A251">
        <v>13</v>
      </c>
      <c r="G251">
        <f t="shared" si="9"/>
        <v>1.3340249999999985</v>
      </c>
    </row>
    <row r="252" spans="1:7" x14ac:dyDescent="0.3">
      <c r="A252">
        <v>12</v>
      </c>
      <c r="G252">
        <f t="shared" si="9"/>
        <v>2.4024999999999803E-2</v>
      </c>
    </row>
    <row r="253" spans="1:7" x14ac:dyDescent="0.3">
      <c r="A253">
        <v>12</v>
      </c>
      <c r="G253">
        <f t="shared" si="9"/>
        <v>2.4024999999999803E-2</v>
      </c>
    </row>
    <row r="254" spans="1:7" x14ac:dyDescent="0.3">
      <c r="A254">
        <v>12</v>
      </c>
      <c r="G254">
        <f t="shared" si="9"/>
        <v>2.4024999999999803E-2</v>
      </c>
    </row>
    <row r="255" spans="1:7" x14ac:dyDescent="0.3">
      <c r="A255">
        <v>13</v>
      </c>
      <c r="G255">
        <f t="shared" si="9"/>
        <v>1.3340249999999985</v>
      </c>
    </row>
    <row r="256" spans="1:7" x14ac:dyDescent="0.3">
      <c r="A256">
        <v>6</v>
      </c>
      <c r="G256">
        <f t="shared" si="9"/>
        <v>34.164025000000009</v>
      </c>
    </row>
    <row r="257" spans="1:7" x14ac:dyDescent="0.3">
      <c r="A257">
        <v>10</v>
      </c>
      <c r="G257">
        <f t="shared" si="9"/>
        <v>3.4040250000000025</v>
      </c>
    </row>
    <row r="258" spans="1:7" x14ac:dyDescent="0.3">
      <c r="A258">
        <v>13</v>
      </c>
      <c r="G258">
        <f t="shared" ref="G258:G321" si="10">(A258-$B$1)^2</f>
        <v>1.3340249999999985</v>
      </c>
    </row>
    <row r="259" spans="1:7" x14ac:dyDescent="0.3">
      <c r="A259">
        <v>11</v>
      </c>
      <c r="G259">
        <f t="shared" si="10"/>
        <v>0.71402500000000113</v>
      </c>
    </row>
    <row r="260" spans="1:7" x14ac:dyDescent="0.3">
      <c r="A260">
        <v>12</v>
      </c>
      <c r="G260">
        <f t="shared" si="10"/>
        <v>2.4024999999999803E-2</v>
      </c>
    </row>
    <row r="261" spans="1:7" x14ac:dyDescent="0.3">
      <c r="A261">
        <v>11</v>
      </c>
      <c r="G261">
        <f t="shared" si="10"/>
        <v>0.71402500000000113</v>
      </c>
    </row>
    <row r="262" spans="1:7" x14ac:dyDescent="0.3">
      <c r="A262">
        <v>14</v>
      </c>
      <c r="G262">
        <f t="shared" si="10"/>
        <v>4.6440249999999974</v>
      </c>
    </row>
    <row r="263" spans="1:7" x14ac:dyDescent="0.3">
      <c r="A263">
        <v>10</v>
      </c>
      <c r="G263">
        <f t="shared" si="10"/>
        <v>3.4040250000000025</v>
      </c>
    </row>
    <row r="264" spans="1:7" x14ac:dyDescent="0.3">
      <c r="A264">
        <v>15</v>
      </c>
      <c r="G264">
        <f t="shared" si="10"/>
        <v>9.9540249999999961</v>
      </c>
    </row>
    <row r="265" spans="1:7" x14ac:dyDescent="0.3">
      <c r="A265">
        <v>14</v>
      </c>
      <c r="G265">
        <f t="shared" si="10"/>
        <v>4.6440249999999974</v>
      </c>
    </row>
    <row r="266" spans="1:7" x14ac:dyDescent="0.3">
      <c r="A266">
        <v>10</v>
      </c>
      <c r="G266">
        <f t="shared" si="10"/>
        <v>3.4040250000000025</v>
      </c>
    </row>
    <row r="267" spans="1:7" x14ac:dyDescent="0.3">
      <c r="A267">
        <v>14</v>
      </c>
      <c r="G267">
        <f t="shared" si="10"/>
        <v>4.6440249999999974</v>
      </c>
    </row>
    <row r="268" spans="1:7" x14ac:dyDescent="0.3">
      <c r="A268">
        <v>14</v>
      </c>
      <c r="G268">
        <f t="shared" si="10"/>
        <v>4.6440249999999974</v>
      </c>
    </row>
    <row r="269" spans="1:7" x14ac:dyDescent="0.3">
      <c r="A269">
        <v>8</v>
      </c>
      <c r="G269">
        <f t="shared" si="10"/>
        <v>14.784025000000005</v>
      </c>
    </row>
    <row r="270" spans="1:7" x14ac:dyDescent="0.3">
      <c r="A270">
        <v>9</v>
      </c>
      <c r="G270">
        <f t="shared" si="10"/>
        <v>8.0940250000000038</v>
      </c>
    </row>
    <row r="271" spans="1:7" x14ac:dyDescent="0.3">
      <c r="A271">
        <v>14</v>
      </c>
      <c r="G271">
        <f t="shared" si="10"/>
        <v>4.6440249999999974</v>
      </c>
    </row>
    <row r="272" spans="1:7" x14ac:dyDescent="0.3">
      <c r="A272">
        <v>12</v>
      </c>
      <c r="G272">
        <f t="shared" si="10"/>
        <v>2.4024999999999803E-2</v>
      </c>
    </row>
    <row r="273" spans="1:7" x14ac:dyDescent="0.3">
      <c r="A273">
        <v>10</v>
      </c>
      <c r="G273">
        <f t="shared" si="10"/>
        <v>3.4040250000000025</v>
      </c>
    </row>
    <row r="274" spans="1:7" x14ac:dyDescent="0.3">
      <c r="A274">
        <v>13</v>
      </c>
      <c r="G274">
        <f t="shared" si="10"/>
        <v>1.3340249999999985</v>
      </c>
    </row>
    <row r="275" spans="1:7" x14ac:dyDescent="0.3">
      <c r="A275">
        <v>15</v>
      </c>
      <c r="G275">
        <f t="shared" si="10"/>
        <v>9.9540249999999961</v>
      </c>
    </row>
    <row r="276" spans="1:7" x14ac:dyDescent="0.3">
      <c r="A276">
        <v>8</v>
      </c>
      <c r="G276">
        <f t="shared" si="10"/>
        <v>14.784025000000005</v>
      </c>
    </row>
    <row r="277" spans="1:7" x14ac:dyDescent="0.3">
      <c r="A277">
        <v>16</v>
      </c>
      <c r="G277">
        <f t="shared" si="10"/>
        <v>17.264024999999993</v>
      </c>
    </row>
    <row r="278" spans="1:7" x14ac:dyDescent="0.3">
      <c r="A278">
        <v>10</v>
      </c>
      <c r="G278">
        <f t="shared" si="10"/>
        <v>3.4040250000000025</v>
      </c>
    </row>
    <row r="279" spans="1:7" x14ac:dyDescent="0.3">
      <c r="A279">
        <v>9</v>
      </c>
      <c r="G279">
        <f t="shared" si="10"/>
        <v>8.0940250000000038</v>
      </c>
    </row>
    <row r="280" spans="1:7" x14ac:dyDescent="0.3">
      <c r="A280">
        <v>12</v>
      </c>
      <c r="G280">
        <f t="shared" si="10"/>
        <v>2.4024999999999803E-2</v>
      </c>
    </row>
    <row r="281" spans="1:7" x14ac:dyDescent="0.3">
      <c r="A281">
        <v>14</v>
      </c>
      <c r="G281">
        <f t="shared" si="10"/>
        <v>4.6440249999999974</v>
      </c>
    </row>
    <row r="282" spans="1:7" x14ac:dyDescent="0.3">
      <c r="A282">
        <v>13</v>
      </c>
      <c r="G282">
        <f t="shared" si="10"/>
        <v>1.3340249999999985</v>
      </c>
    </row>
    <row r="283" spans="1:7" x14ac:dyDescent="0.3">
      <c r="A283">
        <v>13</v>
      </c>
      <c r="G283">
        <f t="shared" si="10"/>
        <v>1.3340249999999985</v>
      </c>
    </row>
    <row r="284" spans="1:7" x14ac:dyDescent="0.3">
      <c r="A284">
        <v>12</v>
      </c>
      <c r="G284">
        <f t="shared" si="10"/>
        <v>2.4024999999999803E-2</v>
      </c>
    </row>
    <row r="285" spans="1:7" x14ac:dyDescent="0.3">
      <c r="A285">
        <v>10</v>
      </c>
      <c r="G285">
        <f t="shared" si="10"/>
        <v>3.4040250000000025</v>
      </c>
    </row>
    <row r="286" spans="1:7" x14ac:dyDescent="0.3">
      <c r="A286">
        <v>10</v>
      </c>
      <c r="G286">
        <f t="shared" si="10"/>
        <v>3.4040250000000025</v>
      </c>
    </row>
    <row r="287" spans="1:7" x14ac:dyDescent="0.3">
      <c r="A287">
        <v>13</v>
      </c>
      <c r="G287">
        <f t="shared" si="10"/>
        <v>1.3340249999999985</v>
      </c>
    </row>
    <row r="288" spans="1:7" x14ac:dyDescent="0.3">
      <c r="A288">
        <v>9</v>
      </c>
      <c r="G288">
        <f t="shared" si="10"/>
        <v>8.0940250000000038</v>
      </c>
    </row>
    <row r="289" spans="1:7" x14ac:dyDescent="0.3">
      <c r="A289">
        <v>13</v>
      </c>
      <c r="G289">
        <f t="shared" si="10"/>
        <v>1.3340249999999985</v>
      </c>
    </row>
    <row r="290" spans="1:7" x14ac:dyDescent="0.3">
      <c r="A290">
        <v>10</v>
      </c>
      <c r="G290">
        <f t="shared" si="10"/>
        <v>3.4040250000000025</v>
      </c>
    </row>
    <row r="291" spans="1:7" x14ac:dyDescent="0.3">
      <c r="A291">
        <v>17</v>
      </c>
      <c r="G291">
        <f t="shared" si="10"/>
        <v>26.574024999999992</v>
      </c>
    </row>
    <row r="292" spans="1:7" x14ac:dyDescent="0.3">
      <c r="A292">
        <v>11</v>
      </c>
      <c r="G292">
        <f t="shared" si="10"/>
        <v>0.71402500000000113</v>
      </c>
    </row>
    <row r="293" spans="1:7" x14ac:dyDescent="0.3">
      <c r="A293">
        <v>6</v>
      </c>
      <c r="G293">
        <f t="shared" si="10"/>
        <v>34.164025000000009</v>
      </c>
    </row>
    <row r="294" spans="1:7" x14ac:dyDescent="0.3">
      <c r="A294">
        <v>13</v>
      </c>
      <c r="G294">
        <f t="shared" si="10"/>
        <v>1.3340249999999985</v>
      </c>
    </row>
    <row r="295" spans="1:7" x14ac:dyDescent="0.3">
      <c r="A295">
        <v>10</v>
      </c>
      <c r="G295">
        <f t="shared" si="10"/>
        <v>3.4040250000000025</v>
      </c>
    </row>
    <row r="296" spans="1:7" x14ac:dyDescent="0.3">
      <c r="A296">
        <v>13</v>
      </c>
      <c r="G296">
        <f t="shared" si="10"/>
        <v>1.3340249999999985</v>
      </c>
    </row>
    <row r="297" spans="1:7" x14ac:dyDescent="0.3">
      <c r="A297">
        <v>4</v>
      </c>
      <c r="G297">
        <f t="shared" si="10"/>
        <v>61.544025000000012</v>
      </c>
    </row>
    <row r="298" spans="1:7" x14ac:dyDescent="0.3">
      <c r="A298">
        <v>16</v>
      </c>
      <c r="G298">
        <f t="shared" si="10"/>
        <v>17.264024999999993</v>
      </c>
    </row>
    <row r="299" spans="1:7" x14ac:dyDescent="0.3">
      <c r="A299">
        <v>15</v>
      </c>
      <c r="G299">
        <f t="shared" si="10"/>
        <v>9.9540249999999961</v>
      </c>
    </row>
    <row r="300" spans="1:7" x14ac:dyDescent="0.3">
      <c r="A300">
        <v>11</v>
      </c>
      <c r="G300">
        <f t="shared" si="10"/>
        <v>0.71402500000000113</v>
      </c>
    </row>
    <row r="301" spans="1:7" x14ac:dyDescent="0.3">
      <c r="A301">
        <v>9</v>
      </c>
      <c r="G301">
        <f t="shared" si="10"/>
        <v>8.0940250000000038</v>
      </c>
    </row>
    <row r="302" spans="1:7" x14ac:dyDescent="0.3">
      <c r="A302">
        <v>10</v>
      </c>
      <c r="G302">
        <f t="shared" si="10"/>
        <v>3.4040250000000025</v>
      </c>
    </row>
    <row r="303" spans="1:7" x14ac:dyDescent="0.3">
      <c r="A303">
        <v>15</v>
      </c>
      <c r="G303">
        <f t="shared" si="10"/>
        <v>9.9540249999999961</v>
      </c>
    </row>
    <row r="304" spans="1:7" x14ac:dyDescent="0.3">
      <c r="A304">
        <v>11</v>
      </c>
      <c r="G304">
        <f t="shared" si="10"/>
        <v>0.71402500000000113</v>
      </c>
    </row>
    <row r="305" spans="1:7" x14ac:dyDescent="0.3">
      <c r="A305">
        <v>8</v>
      </c>
      <c r="G305">
        <f t="shared" si="10"/>
        <v>14.784025000000005</v>
      </c>
    </row>
    <row r="306" spans="1:7" x14ac:dyDescent="0.3">
      <c r="A306">
        <v>13</v>
      </c>
      <c r="G306">
        <f t="shared" si="10"/>
        <v>1.3340249999999985</v>
      </c>
    </row>
    <row r="307" spans="1:7" x14ac:dyDescent="0.3">
      <c r="A307">
        <v>11</v>
      </c>
      <c r="G307">
        <f t="shared" si="10"/>
        <v>0.71402500000000113</v>
      </c>
    </row>
    <row r="308" spans="1:7" x14ac:dyDescent="0.3">
      <c r="A308">
        <v>14</v>
      </c>
      <c r="G308">
        <f t="shared" si="10"/>
        <v>4.6440249999999974</v>
      </c>
    </row>
    <row r="309" spans="1:7" x14ac:dyDescent="0.3">
      <c r="A309">
        <v>10</v>
      </c>
      <c r="G309">
        <f t="shared" si="10"/>
        <v>3.4040250000000025</v>
      </c>
    </row>
    <row r="310" spans="1:7" x14ac:dyDescent="0.3">
      <c r="A310">
        <v>17</v>
      </c>
      <c r="G310">
        <f t="shared" si="10"/>
        <v>26.574024999999992</v>
      </c>
    </row>
    <row r="311" spans="1:7" x14ac:dyDescent="0.3">
      <c r="A311">
        <v>14</v>
      </c>
      <c r="G311">
        <f t="shared" si="10"/>
        <v>4.6440249999999974</v>
      </c>
    </row>
    <row r="312" spans="1:7" x14ac:dyDescent="0.3">
      <c r="A312">
        <v>17</v>
      </c>
      <c r="G312">
        <f t="shared" si="10"/>
        <v>26.574024999999992</v>
      </c>
    </row>
    <row r="313" spans="1:7" x14ac:dyDescent="0.3">
      <c r="A313">
        <v>16</v>
      </c>
      <c r="G313">
        <f t="shared" si="10"/>
        <v>17.264024999999993</v>
      </c>
    </row>
    <row r="314" spans="1:7" x14ac:dyDescent="0.3">
      <c r="A314">
        <v>15</v>
      </c>
      <c r="G314">
        <f t="shared" si="10"/>
        <v>9.9540249999999961</v>
      </c>
    </row>
    <row r="315" spans="1:7" x14ac:dyDescent="0.3">
      <c r="A315">
        <v>14</v>
      </c>
      <c r="G315">
        <f t="shared" si="10"/>
        <v>4.6440249999999974</v>
      </c>
    </row>
    <row r="316" spans="1:7" x14ac:dyDescent="0.3">
      <c r="A316">
        <v>15</v>
      </c>
      <c r="G316">
        <f t="shared" si="10"/>
        <v>9.9540249999999961</v>
      </c>
    </row>
    <row r="317" spans="1:7" x14ac:dyDescent="0.3">
      <c r="A317">
        <v>10</v>
      </c>
      <c r="G317">
        <f t="shared" si="10"/>
        <v>3.4040250000000025</v>
      </c>
    </row>
    <row r="318" spans="1:7" x14ac:dyDescent="0.3">
      <c r="A318">
        <v>9</v>
      </c>
      <c r="G318">
        <f t="shared" si="10"/>
        <v>8.0940250000000038</v>
      </c>
    </row>
    <row r="319" spans="1:7" x14ac:dyDescent="0.3">
      <c r="A319">
        <v>7</v>
      </c>
      <c r="G319">
        <f t="shared" si="10"/>
        <v>23.474025000000005</v>
      </c>
    </row>
    <row r="320" spans="1:7" x14ac:dyDescent="0.3">
      <c r="A320">
        <v>18</v>
      </c>
      <c r="G320">
        <f t="shared" si="10"/>
        <v>37.884024999999994</v>
      </c>
    </row>
    <row r="321" spans="1:7" x14ac:dyDescent="0.3">
      <c r="A321">
        <v>9</v>
      </c>
      <c r="G321">
        <f t="shared" si="10"/>
        <v>8.0940250000000038</v>
      </c>
    </row>
    <row r="322" spans="1:7" x14ac:dyDescent="0.3">
      <c r="A322">
        <v>11</v>
      </c>
      <c r="G322">
        <f t="shared" ref="G322:G385" si="11">(A322-$B$1)^2</f>
        <v>0.71402500000000113</v>
      </c>
    </row>
    <row r="323" spans="1:7" x14ac:dyDescent="0.3">
      <c r="A323">
        <v>7</v>
      </c>
      <c r="G323">
        <f t="shared" si="11"/>
        <v>23.474025000000005</v>
      </c>
    </row>
    <row r="324" spans="1:7" x14ac:dyDescent="0.3">
      <c r="A324">
        <v>12</v>
      </c>
      <c r="G324">
        <f t="shared" si="11"/>
        <v>2.4024999999999803E-2</v>
      </c>
    </row>
    <row r="325" spans="1:7" x14ac:dyDescent="0.3">
      <c r="A325">
        <v>12</v>
      </c>
      <c r="G325">
        <f t="shared" si="11"/>
        <v>2.4024999999999803E-2</v>
      </c>
    </row>
    <row r="326" spans="1:7" x14ac:dyDescent="0.3">
      <c r="A326">
        <v>12</v>
      </c>
      <c r="G326">
        <f t="shared" si="11"/>
        <v>2.4024999999999803E-2</v>
      </c>
    </row>
    <row r="327" spans="1:7" x14ac:dyDescent="0.3">
      <c r="A327">
        <v>8</v>
      </c>
      <c r="G327">
        <f t="shared" si="11"/>
        <v>14.784025000000005</v>
      </c>
    </row>
    <row r="328" spans="1:7" x14ac:dyDescent="0.3">
      <c r="A328">
        <v>7</v>
      </c>
      <c r="G328">
        <f t="shared" si="11"/>
        <v>23.474025000000005</v>
      </c>
    </row>
    <row r="329" spans="1:7" x14ac:dyDescent="0.3">
      <c r="A329">
        <v>18</v>
      </c>
      <c r="G329">
        <f t="shared" si="11"/>
        <v>37.884024999999994</v>
      </c>
    </row>
    <row r="330" spans="1:7" x14ac:dyDescent="0.3">
      <c r="A330">
        <v>12</v>
      </c>
      <c r="G330">
        <f t="shared" si="11"/>
        <v>2.4024999999999803E-2</v>
      </c>
    </row>
    <row r="331" spans="1:7" x14ac:dyDescent="0.3">
      <c r="A331">
        <v>13</v>
      </c>
      <c r="G331">
        <f t="shared" si="11"/>
        <v>1.3340249999999985</v>
      </c>
    </row>
    <row r="332" spans="1:7" x14ac:dyDescent="0.3">
      <c r="A332">
        <v>11</v>
      </c>
      <c r="G332">
        <f t="shared" si="11"/>
        <v>0.71402500000000113</v>
      </c>
    </row>
    <row r="333" spans="1:7" x14ac:dyDescent="0.3">
      <c r="A333">
        <v>16</v>
      </c>
      <c r="G333">
        <f t="shared" si="11"/>
        <v>17.264024999999993</v>
      </c>
    </row>
    <row r="334" spans="1:7" x14ac:dyDescent="0.3">
      <c r="A334">
        <v>6</v>
      </c>
      <c r="G334">
        <f t="shared" si="11"/>
        <v>34.164025000000009</v>
      </c>
    </row>
    <row r="335" spans="1:7" x14ac:dyDescent="0.3">
      <c r="A335">
        <v>12</v>
      </c>
      <c r="G335">
        <f t="shared" si="11"/>
        <v>2.4024999999999803E-2</v>
      </c>
    </row>
    <row r="336" spans="1:7" x14ac:dyDescent="0.3">
      <c r="A336">
        <v>13</v>
      </c>
      <c r="G336">
        <f t="shared" si="11"/>
        <v>1.3340249999999985</v>
      </c>
    </row>
    <row r="337" spans="1:7" x14ac:dyDescent="0.3">
      <c r="A337">
        <v>9</v>
      </c>
      <c r="G337">
        <f t="shared" si="11"/>
        <v>8.0940250000000038</v>
      </c>
    </row>
    <row r="338" spans="1:7" x14ac:dyDescent="0.3">
      <c r="A338">
        <v>12</v>
      </c>
      <c r="G338">
        <f t="shared" si="11"/>
        <v>2.4024999999999803E-2</v>
      </c>
    </row>
    <row r="339" spans="1:7" x14ac:dyDescent="0.3">
      <c r="A339">
        <v>11</v>
      </c>
      <c r="G339">
        <f t="shared" si="11"/>
        <v>0.71402500000000113</v>
      </c>
    </row>
    <row r="340" spans="1:7" x14ac:dyDescent="0.3">
      <c r="A340">
        <v>13</v>
      </c>
      <c r="G340">
        <f t="shared" si="11"/>
        <v>1.3340249999999985</v>
      </c>
    </row>
    <row r="341" spans="1:7" x14ac:dyDescent="0.3">
      <c r="A341">
        <v>11</v>
      </c>
      <c r="G341">
        <f t="shared" si="11"/>
        <v>0.71402500000000113</v>
      </c>
    </row>
    <row r="342" spans="1:7" x14ac:dyDescent="0.3">
      <c r="A342">
        <v>12</v>
      </c>
      <c r="G342">
        <f t="shared" si="11"/>
        <v>2.4024999999999803E-2</v>
      </c>
    </row>
    <row r="343" spans="1:7" x14ac:dyDescent="0.3">
      <c r="A343">
        <v>8</v>
      </c>
      <c r="G343">
        <f t="shared" si="11"/>
        <v>14.784025000000005</v>
      </c>
    </row>
    <row r="344" spans="1:7" x14ac:dyDescent="0.3">
      <c r="A344">
        <v>8</v>
      </c>
      <c r="G344">
        <f t="shared" si="11"/>
        <v>14.784025000000005</v>
      </c>
    </row>
    <row r="345" spans="1:7" x14ac:dyDescent="0.3">
      <c r="A345">
        <v>12</v>
      </c>
      <c r="G345">
        <f t="shared" si="11"/>
        <v>2.4024999999999803E-2</v>
      </c>
    </row>
    <row r="346" spans="1:7" x14ac:dyDescent="0.3">
      <c r="A346">
        <v>7</v>
      </c>
      <c r="G346">
        <f t="shared" si="11"/>
        <v>23.474025000000005</v>
      </c>
    </row>
    <row r="347" spans="1:7" x14ac:dyDescent="0.3">
      <c r="A347">
        <v>6</v>
      </c>
      <c r="G347">
        <f t="shared" si="11"/>
        <v>34.164025000000009</v>
      </c>
    </row>
    <row r="348" spans="1:7" x14ac:dyDescent="0.3">
      <c r="A348">
        <v>9</v>
      </c>
      <c r="G348">
        <f t="shared" si="11"/>
        <v>8.0940250000000038</v>
      </c>
    </row>
    <row r="349" spans="1:7" x14ac:dyDescent="0.3">
      <c r="A349">
        <v>6</v>
      </c>
      <c r="G349">
        <f t="shared" si="11"/>
        <v>34.164025000000009</v>
      </c>
    </row>
    <row r="350" spans="1:7" x14ac:dyDescent="0.3">
      <c r="A350">
        <v>13</v>
      </c>
      <c r="G350">
        <f t="shared" si="11"/>
        <v>1.3340249999999985</v>
      </c>
    </row>
    <row r="351" spans="1:7" x14ac:dyDescent="0.3">
      <c r="A351">
        <v>8</v>
      </c>
      <c r="G351">
        <f t="shared" si="11"/>
        <v>14.784025000000005</v>
      </c>
    </row>
    <row r="352" spans="1:7" x14ac:dyDescent="0.3">
      <c r="A352">
        <v>12</v>
      </c>
      <c r="G352">
        <f t="shared" si="11"/>
        <v>2.4024999999999803E-2</v>
      </c>
    </row>
    <row r="353" spans="1:7" x14ac:dyDescent="0.3">
      <c r="A353">
        <v>12</v>
      </c>
      <c r="G353">
        <f t="shared" si="11"/>
        <v>2.4024999999999803E-2</v>
      </c>
    </row>
    <row r="354" spans="1:7" x14ac:dyDescent="0.3">
      <c r="A354">
        <v>10</v>
      </c>
      <c r="G354">
        <f t="shared" si="11"/>
        <v>3.4040250000000025</v>
      </c>
    </row>
    <row r="355" spans="1:7" x14ac:dyDescent="0.3">
      <c r="A355">
        <v>14</v>
      </c>
      <c r="G355">
        <f t="shared" si="11"/>
        <v>4.6440249999999974</v>
      </c>
    </row>
    <row r="356" spans="1:7" x14ac:dyDescent="0.3">
      <c r="A356">
        <v>9</v>
      </c>
      <c r="G356">
        <f t="shared" si="11"/>
        <v>8.0940250000000038</v>
      </c>
    </row>
    <row r="357" spans="1:7" x14ac:dyDescent="0.3">
      <c r="A357">
        <v>12</v>
      </c>
      <c r="G357">
        <f t="shared" si="11"/>
        <v>2.4024999999999803E-2</v>
      </c>
    </row>
    <row r="358" spans="1:7" x14ac:dyDescent="0.3">
      <c r="A358">
        <v>10</v>
      </c>
      <c r="G358">
        <f t="shared" si="11"/>
        <v>3.4040250000000025</v>
      </c>
    </row>
    <row r="359" spans="1:7" x14ac:dyDescent="0.3">
      <c r="A359">
        <v>12</v>
      </c>
      <c r="G359">
        <f t="shared" si="11"/>
        <v>2.4024999999999803E-2</v>
      </c>
    </row>
    <row r="360" spans="1:7" x14ac:dyDescent="0.3">
      <c r="A360">
        <v>14</v>
      </c>
      <c r="G360">
        <f t="shared" si="11"/>
        <v>4.6440249999999974</v>
      </c>
    </row>
    <row r="361" spans="1:7" x14ac:dyDescent="0.3">
      <c r="A361">
        <v>10</v>
      </c>
      <c r="G361">
        <f t="shared" si="11"/>
        <v>3.4040250000000025</v>
      </c>
    </row>
    <row r="362" spans="1:7" x14ac:dyDescent="0.3">
      <c r="A362">
        <v>11</v>
      </c>
      <c r="G362">
        <f t="shared" si="11"/>
        <v>0.71402500000000113</v>
      </c>
    </row>
    <row r="363" spans="1:7" x14ac:dyDescent="0.3">
      <c r="A363">
        <v>10</v>
      </c>
      <c r="G363">
        <f t="shared" si="11"/>
        <v>3.4040250000000025</v>
      </c>
    </row>
    <row r="364" spans="1:7" x14ac:dyDescent="0.3">
      <c r="A364">
        <v>11</v>
      </c>
      <c r="G364">
        <f t="shared" si="11"/>
        <v>0.71402500000000113</v>
      </c>
    </row>
    <row r="365" spans="1:7" x14ac:dyDescent="0.3">
      <c r="A365">
        <v>15</v>
      </c>
      <c r="G365">
        <f t="shared" si="11"/>
        <v>9.9540249999999961</v>
      </c>
    </row>
    <row r="366" spans="1:7" x14ac:dyDescent="0.3">
      <c r="A366">
        <v>10</v>
      </c>
      <c r="G366">
        <f t="shared" si="11"/>
        <v>3.4040250000000025</v>
      </c>
    </row>
    <row r="367" spans="1:7" x14ac:dyDescent="0.3">
      <c r="A367">
        <v>15</v>
      </c>
      <c r="G367">
        <f t="shared" si="11"/>
        <v>9.9540249999999961</v>
      </c>
    </row>
    <row r="368" spans="1:7" x14ac:dyDescent="0.3">
      <c r="A368">
        <v>11</v>
      </c>
      <c r="G368">
        <f t="shared" si="11"/>
        <v>0.71402500000000113</v>
      </c>
    </row>
    <row r="369" spans="1:7" x14ac:dyDescent="0.3">
      <c r="A369">
        <v>6</v>
      </c>
      <c r="G369">
        <f t="shared" si="11"/>
        <v>34.164025000000009</v>
      </c>
    </row>
    <row r="370" spans="1:7" x14ac:dyDescent="0.3">
      <c r="A370">
        <v>8</v>
      </c>
      <c r="G370">
        <f t="shared" si="11"/>
        <v>14.784025000000005</v>
      </c>
    </row>
    <row r="371" spans="1:7" x14ac:dyDescent="0.3">
      <c r="A371">
        <v>10</v>
      </c>
      <c r="G371">
        <f t="shared" si="11"/>
        <v>3.4040250000000025</v>
      </c>
    </row>
    <row r="372" spans="1:7" x14ac:dyDescent="0.3">
      <c r="A372">
        <v>14</v>
      </c>
      <c r="G372">
        <f t="shared" si="11"/>
        <v>4.6440249999999974</v>
      </c>
    </row>
    <row r="373" spans="1:7" x14ac:dyDescent="0.3">
      <c r="A373">
        <v>11</v>
      </c>
      <c r="G373">
        <f t="shared" si="11"/>
        <v>0.71402500000000113</v>
      </c>
    </row>
    <row r="374" spans="1:7" x14ac:dyDescent="0.3">
      <c r="A374">
        <v>6</v>
      </c>
      <c r="G374">
        <f t="shared" si="11"/>
        <v>34.164025000000009</v>
      </c>
    </row>
    <row r="375" spans="1:7" x14ac:dyDescent="0.3">
      <c r="A375">
        <v>12</v>
      </c>
      <c r="G375">
        <f t="shared" si="11"/>
        <v>2.4024999999999803E-2</v>
      </c>
    </row>
    <row r="376" spans="1:7" x14ac:dyDescent="0.3">
      <c r="A376">
        <v>13</v>
      </c>
      <c r="G376">
        <f t="shared" si="11"/>
        <v>1.3340249999999985</v>
      </c>
    </row>
    <row r="377" spans="1:7" x14ac:dyDescent="0.3">
      <c r="A377">
        <v>6</v>
      </c>
      <c r="G377">
        <f t="shared" si="11"/>
        <v>34.164025000000009</v>
      </c>
    </row>
    <row r="378" spans="1:7" x14ac:dyDescent="0.3">
      <c r="A378">
        <v>11</v>
      </c>
      <c r="G378">
        <f t="shared" si="11"/>
        <v>0.71402500000000113</v>
      </c>
    </row>
    <row r="379" spans="1:7" x14ac:dyDescent="0.3">
      <c r="A379">
        <v>16</v>
      </c>
      <c r="G379">
        <f t="shared" si="11"/>
        <v>17.264024999999993</v>
      </c>
    </row>
    <row r="380" spans="1:7" x14ac:dyDescent="0.3">
      <c r="A380">
        <v>12</v>
      </c>
      <c r="G380">
        <f t="shared" si="11"/>
        <v>2.4024999999999803E-2</v>
      </c>
    </row>
    <row r="381" spans="1:7" x14ac:dyDescent="0.3">
      <c r="A381">
        <v>12</v>
      </c>
      <c r="G381">
        <f t="shared" si="11"/>
        <v>2.4024999999999803E-2</v>
      </c>
    </row>
    <row r="382" spans="1:7" x14ac:dyDescent="0.3">
      <c r="A382">
        <v>14</v>
      </c>
      <c r="G382">
        <f t="shared" si="11"/>
        <v>4.6440249999999974</v>
      </c>
    </row>
    <row r="383" spans="1:7" x14ac:dyDescent="0.3">
      <c r="A383">
        <v>14</v>
      </c>
      <c r="G383">
        <f t="shared" si="11"/>
        <v>4.6440249999999974</v>
      </c>
    </row>
    <row r="384" spans="1:7" x14ac:dyDescent="0.3">
      <c r="A384">
        <v>11</v>
      </c>
      <c r="G384">
        <f t="shared" si="11"/>
        <v>0.71402500000000113</v>
      </c>
    </row>
    <row r="385" spans="1:7" x14ac:dyDescent="0.3">
      <c r="A385">
        <v>14</v>
      </c>
      <c r="G385">
        <f t="shared" si="11"/>
        <v>4.6440249999999974</v>
      </c>
    </row>
    <row r="386" spans="1:7" x14ac:dyDescent="0.3">
      <c r="A386">
        <v>8</v>
      </c>
      <c r="G386">
        <f t="shared" ref="G386:G400" si="12">(A386-$B$1)^2</f>
        <v>14.784025000000005</v>
      </c>
    </row>
    <row r="387" spans="1:7" x14ac:dyDescent="0.3">
      <c r="A387">
        <v>13</v>
      </c>
      <c r="G387">
        <f t="shared" si="12"/>
        <v>1.3340249999999985</v>
      </c>
    </row>
    <row r="388" spans="1:7" x14ac:dyDescent="0.3">
      <c r="A388">
        <v>16</v>
      </c>
      <c r="G388">
        <f t="shared" si="12"/>
        <v>17.264024999999993</v>
      </c>
    </row>
    <row r="389" spans="1:7" x14ac:dyDescent="0.3">
      <c r="A389">
        <v>11</v>
      </c>
      <c r="G389">
        <f t="shared" si="12"/>
        <v>0.71402500000000113</v>
      </c>
    </row>
    <row r="390" spans="1:7" x14ac:dyDescent="0.3">
      <c r="A390">
        <v>10</v>
      </c>
      <c r="G390">
        <f t="shared" si="12"/>
        <v>3.4040250000000025</v>
      </c>
    </row>
    <row r="391" spans="1:7" x14ac:dyDescent="0.3">
      <c r="A391">
        <v>13</v>
      </c>
      <c r="G391">
        <f t="shared" si="12"/>
        <v>1.3340249999999985</v>
      </c>
    </row>
    <row r="392" spans="1:7" x14ac:dyDescent="0.3">
      <c r="A392">
        <v>9</v>
      </c>
      <c r="G392">
        <f t="shared" si="12"/>
        <v>8.0940250000000038</v>
      </c>
    </row>
    <row r="393" spans="1:7" x14ac:dyDescent="0.3">
      <c r="A393">
        <v>11</v>
      </c>
      <c r="G393">
        <f t="shared" si="12"/>
        <v>0.71402500000000113</v>
      </c>
    </row>
    <row r="394" spans="1:7" x14ac:dyDescent="0.3">
      <c r="A394">
        <v>12</v>
      </c>
      <c r="G394">
        <f t="shared" si="12"/>
        <v>2.4024999999999803E-2</v>
      </c>
    </row>
    <row r="395" spans="1:7" x14ac:dyDescent="0.3">
      <c r="A395">
        <v>19</v>
      </c>
      <c r="G395">
        <f t="shared" si="12"/>
        <v>51.194024999999989</v>
      </c>
    </row>
    <row r="396" spans="1:7" x14ac:dyDescent="0.3">
      <c r="A396">
        <v>18</v>
      </c>
      <c r="G396">
        <f t="shared" si="12"/>
        <v>37.884024999999994</v>
      </c>
    </row>
    <row r="397" spans="1:7" x14ac:dyDescent="0.3">
      <c r="A397">
        <v>16</v>
      </c>
      <c r="G397">
        <f t="shared" si="12"/>
        <v>17.264024999999993</v>
      </c>
    </row>
    <row r="398" spans="1:7" x14ac:dyDescent="0.3">
      <c r="A398">
        <v>15</v>
      </c>
      <c r="G398">
        <f t="shared" si="12"/>
        <v>9.9540249999999961</v>
      </c>
    </row>
    <row r="399" spans="1:7" x14ac:dyDescent="0.3">
      <c r="A399">
        <v>15</v>
      </c>
      <c r="G399">
        <f t="shared" si="12"/>
        <v>9.9540249999999961</v>
      </c>
    </row>
    <row r="400" spans="1:7" x14ac:dyDescent="0.3">
      <c r="A400">
        <v>11</v>
      </c>
      <c r="G400">
        <f t="shared" si="12"/>
        <v>0.71402500000000113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66F2-03C4-4463-8A74-78207BC7D06E}">
  <dimension ref="A1:P200"/>
  <sheetViews>
    <sheetView workbookViewId="0">
      <selection activeCell="O5" sqref="O5:P6"/>
    </sheetView>
  </sheetViews>
  <sheetFormatPr defaultRowHeight="14.4" x14ac:dyDescent="0.3"/>
  <sheetData>
    <row r="1" spans="1:16" x14ac:dyDescent="0.3">
      <c r="A1">
        <v>27</v>
      </c>
      <c r="B1">
        <f>AVERAGE(A:A)</f>
        <v>23.69</v>
      </c>
      <c r="C1">
        <v>14</v>
      </c>
      <c r="D1">
        <v>2</v>
      </c>
      <c r="E1">
        <f>D1/200</f>
        <v>0.01</v>
      </c>
      <c r="G1">
        <f>(A1-$B$1)^2</f>
        <v>10.956099999999992</v>
      </c>
    </row>
    <row r="2" spans="1:16" x14ac:dyDescent="0.3">
      <c r="A2">
        <v>31</v>
      </c>
      <c r="C2">
        <v>15</v>
      </c>
      <c r="D2">
        <v>3</v>
      </c>
      <c r="E2">
        <f t="shared" ref="E2:E25" si="0">D2/200</f>
        <v>1.4999999999999999E-2</v>
      </c>
      <c r="G2">
        <f t="shared" ref="G2:G65" si="1">(A2-$B$1)^2</f>
        <v>53.436099999999982</v>
      </c>
    </row>
    <row r="3" spans="1:16" x14ac:dyDescent="0.3">
      <c r="A3">
        <v>24</v>
      </c>
      <c r="C3">
        <v>16</v>
      </c>
      <c r="D3">
        <v>6</v>
      </c>
      <c r="E3">
        <f t="shared" si="0"/>
        <v>0.03</v>
      </c>
      <c r="G3">
        <f t="shared" si="1"/>
        <v>9.6099999999999214E-2</v>
      </c>
    </row>
    <row r="4" spans="1:16" x14ac:dyDescent="0.3">
      <c r="A4">
        <v>26</v>
      </c>
      <c r="C4">
        <v>17</v>
      </c>
      <c r="D4">
        <v>7</v>
      </c>
      <c r="E4">
        <f t="shared" si="0"/>
        <v>3.5000000000000003E-2</v>
      </c>
      <c r="G4">
        <f t="shared" si="1"/>
        <v>5.3360999999999938</v>
      </c>
    </row>
    <row r="5" spans="1:16" x14ac:dyDescent="0.3">
      <c r="A5">
        <v>29</v>
      </c>
      <c r="C5">
        <v>18</v>
      </c>
      <c r="D5">
        <v>10</v>
      </c>
      <c r="E5">
        <f t="shared" si="0"/>
        <v>0.05</v>
      </c>
      <c r="G5">
        <f t="shared" si="1"/>
        <v>28.196099999999987</v>
      </c>
      <c r="M5" t="s">
        <v>0</v>
      </c>
      <c r="N5" t="s">
        <v>1</v>
      </c>
      <c r="O5" t="s">
        <v>2</v>
      </c>
      <c r="P5" t="s">
        <v>3</v>
      </c>
    </row>
    <row r="6" spans="1:16" x14ac:dyDescent="0.3">
      <c r="A6">
        <v>20</v>
      </c>
      <c r="C6">
        <v>19</v>
      </c>
      <c r="D6">
        <v>13</v>
      </c>
      <c r="E6">
        <f t="shared" si="0"/>
        <v>6.5000000000000002E-2</v>
      </c>
      <c r="G6">
        <f t="shared" si="1"/>
        <v>13.61610000000001</v>
      </c>
      <c r="M6">
        <f>SQRT(SUM(G:G)/200)</f>
        <v>4.534743653173793</v>
      </c>
      <c r="N6">
        <f>M6/SQRT(200)</f>
        <v>0.3206547988101846</v>
      </c>
      <c r="O6">
        <f>B1/20</f>
        <v>1.1845000000000001</v>
      </c>
      <c r="P6">
        <f>N6/20</f>
        <v>1.603273994050923E-2</v>
      </c>
    </row>
    <row r="7" spans="1:16" x14ac:dyDescent="0.3">
      <c r="A7">
        <v>29</v>
      </c>
      <c r="C7">
        <v>20</v>
      </c>
      <c r="D7">
        <v>13</v>
      </c>
      <c r="E7">
        <f t="shared" si="0"/>
        <v>6.5000000000000002E-2</v>
      </c>
      <c r="G7">
        <f t="shared" si="1"/>
        <v>28.196099999999987</v>
      </c>
    </row>
    <row r="8" spans="1:16" x14ac:dyDescent="0.3">
      <c r="A8">
        <v>28</v>
      </c>
      <c r="C8">
        <v>21</v>
      </c>
      <c r="D8">
        <v>9</v>
      </c>
      <c r="E8">
        <f t="shared" si="0"/>
        <v>4.4999999999999998E-2</v>
      </c>
      <c r="G8">
        <f t="shared" si="1"/>
        <v>18.57609999999999</v>
      </c>
    </row>
    <row r="9" spans="1:16" x14ac:dyDescent="0.3">
      <c r="A9">
        <v>24</v>
      </c>
      <c r="C9">
        <v>22</v>
      </c>
      <c r="D9">
        <v>13</v>
      </c>
      <c r="E9">
        <f t="shared" si="0"/>
        <v>6.5000000000000002E-2</v>
      </c>
      <c r="G9">
        <f t="shared" si="1"/>
        <v>9.6099999999999214E-2</v>
      </c>
    </row>
    <row r="10" spans="1:16" x14ac:dyDescent="0.3">
      <c r="A10">
        <v>27</v>
      </c>
      <c r="C10">
        <v>23</v>
      </c>
      <c r="D10">
        <v>20</v>
      </c>
      <c r="E10">
        <f t="shared" si="0"/>
        <v>0.1</v>
      </c>
      <c r="G10">
        <f t="shared" si="1"/>
        <v>10.956099999999992</v>
      </c>
    </row>
    <row r="11" spans="1:16" x14ac:dyDescent="0.3">
      <c r="A11">
        <v>14</v>
      </c>
      <c r="C11">
        <v>24</v>
      </c>
      <c r="D11">
        <v>16</v>
      </c>
      <c r="E11">
        <f t="shared" si="0"/>
        <v>0.08</v>
      </c>
      <c r="G11">
        <f t="shared" si="1"/>
        <v>93.896100000000018</v>
      </c>
    </row>
    <row r="12" spans="1:16" x14ac:dyDescent="0.3">
      <c r="A12">
        <v>17</v>
      </c>
      <c r="C12">
        <v>25</v>
      </c>
      <c r="D12">
        <v>20</v>
      </c>
      <c r="E12">
        <f t="shared" si="0"/>
        <v>0.1</v>
      </c>
      <c r="G12">
        <f t="shared" si="1"/>
        <v>44.756100000000018</v>
      </c>
    </row>
    <row r="13" spans="1:16" x14ac:dyDescent="0.3">
      <c r="A13">
        <v>27</v>
      </c>
      <c r="C13">
        <v>26</v>
      </c>
      <c r="D13">
        <v>17</v>
      </c>
      <c r="E13">
        <f t="shared" si="0"/>
        <v>8.5000000000000006E-2</v>
      </c>
      <c r="G13">
        <f t="shared" si="1"/>
        <v>10.956099999999992</v>
      </c>
    </row>
    <row r="14" spans="1:16" x14ac:dyDescent="0.3">
      <c r="A14">
        <v>19</v>
      </c>
      <c r="C14">
        <v>27</v>
      </c>
      <c r="D14">
        <v>11</v>
      </c>
      <c r="E14">
        <f t="shared" si="0"/>
        <v>5.5E-2</v>
      </c>
      <c r="G14">
        <f t="shared" si="1"/>
        <v>21.996100000000013</v>
      </c>
    </row>
    <row r="15" spans="1:16" x14ac:dyDescent="0.3">
      <c r="A15">
        <v>29</v>
      </c>
      <c r="C15">
        <v>28</v>
      </c>
      <c r="D15">
        <v>10</v>
      </c>
      <c r="E15">
        <f t="shared" si="0"/>
        <v>0.05</v>
      </c>
      <c r="G15">
        <f t="shared" si="1"/>
        <v>28.196099999999987</v>
      </c>
    </row>
    <row r="16" spans="1:16" x14ac:dyDescent="0.3">
      <c r="A16">
        <v>31</v>
      </c>
      <c r="C16">
        <v>29</v>
      </c>
      <c r="D16">
        <v>10</v>
      </c>
      <c r="E16">
        <f t="shared" si="0"/>
        <v>0.05</v>
      </c>
      <c r="G16">
        <f t="shared" si="1"/>
        <v>53.436099999999982</v>
      </c>
    </row>
    <row r="17" spans="1:7" x14ac:dyDescent="0.3">
      <c r="A17">
        <v>23</v>
      </c>
      <c r="C17">
        <v>30</v>
      </c>
      <c r="D17">
        <v>8</v>
      </c>
      <c r="E17">
        <f t="shared" si="0"/>
        <v>0.04</v>
      </c>
      <c r="G17">
        <f t="shared" si="1"/>
        <v>0.47610000000000174</v>
      </c>
    </row>
    <row r="18" spans="1:7" x14ac:dyDescent="0.3">
      <c r="A18">
        <v>24</v>
      </c>
      <c r="C18">
        <v>31</v>
      </c>
      <c r="D18">
        <v>6</v>
      </c>
      <c r="E18">
        <f t="shared" si="0"/>
        <v>0.03</v>
      </c>
      <c r="G18">
        <f t="shared" si="1"/>
        <v>9.6099999999999214E-2</v>
      </c>
    </row>
    <row r="19" spans="1:7" x14ac:dyDescent="0.3">
      <c r="A19">
        <v>25</v>
      </c>
      <c r="C19">
        <v>32</v>
      </c>
      <c r="D19">
        <v>2</v>
      </c>
      <c r="E19">
        <f t="shared" si="0"/>
        <v>0.01</v>
      </c>
      <c r="G19">
        <f t="shared" si="1"/>
        <v>1.7160999999999966</v>
      </c>
    </row>
    <row r="20" spans="1:7" x14ac:dyDescent="0.3">
      <c r="A20">
        <v>30</v>
      </c>
      <c r="C20">
        <v>33</v>
      </c>
      <c r="D20">
        <v>0</v>
      </c>
      <c r="E20">
        <f t="shared" si="0"/>
        <v>0</v>
      </c>
      <c r="G20">
        <f t="shared" si="1"/>
        <v>39.816099999999985</v>
      </c>
    </row>
    <row r="21" spans="1:7" x14ac:dyDescent="0.3">
      <c r="A21">
        <v>30</v>
      </c>
      <c r="C21">
        <v>34</v>
      </c>
      <c r="D21">
        <v>1</v>
      </c>
      <c r="E21">
        <f t="shared" si="0"/>
        <v>5.0000000000000001E-3</v>
      </c>
      <c r="G21">
        <f t="shared" si="1"/>
        <v>39.816099999999985</v>
      </c>
    </row>
    <row r="22" spans="1:7" x14ac:dyDescent="0.3">
      <c r="A22">
        <v>29</v>
      </c>
      <c r="C22">
        <v>35</v>
      </c>
      <c r="D22">
        <v>0</v>
      </c>
      <c r="E22">
        <f t="shared" si="0"/>
        <v>0</v>
      </c>
      <c r="G22">
        <f t="shared" si="1"/>
        <v>28.196099999999987</v>
      </c>
    </row>
    <row r="23" spans="1:7" x14ac:dyDescent="0.3">
      <c r="A23">
        <v>16</v>
      </c>
      <c r="C23">
        <v>36</v>
      </c>
      <c r="D23">
        <v>1</v>
      </c>
      <c r="E23">
        <f t="shared" si="0"/>
        <v>5.0000000000000001E-3</v>
      </c>
      <c r="G23">
        <f t="shared" si="1"/>
        <v>59.13610000000002</v>
      </c>
    </row>
    <row r="24" spans="1:7" x14ac:dyDescent="0.3">
      <c r="A24">
        <v>21</v>
      </c>
      <c r="C24">
        <v>37</v>
      </c>
      <c r="D24">
        <v>1</v>
      </c>
      <c r="E24">
        <f t="shared" si="0"/>
        <v>5.0000000000000001E-3</v>
      </c>
      <c r="G24">
        <f t="shared" si="1"/>
        <v>7.2361000000000066</v>
      </c>
    </row>
    <row r="25" spans="1:7" x14ac:dyDescent="0.3">
      <c r="A25">
        <v>23</v>
      </c>
      <c r="C25">
        <v>38</v>
      </c>
      <c r="D25">
        <v>1</v>
      </c>
      <c r="E25">
        <f t="shared" si="0"/>
        <v>5.0000000000000001E-3</v>
      </c>
      <c r="G25">
        <f t="shared" si="1"/>
        <v>0.47610000000000174</v>
      </c>
    </row>
    <row r="26" spans="1:7" x14ac:dyDescent="0.3">
      <c r="A26">
        <v>19</v>
      </c>
      <c r="G26">
        <f t="shared" si="1"/>
        <v>21.996100000000013</v>
      </c>
    </row>
    <row r="27" spans="1:7" x14ac:dyDescent="0.3">
      <c r="A27">
        <v>24</v>
      </c>
      <c r="G27">
        <f t="shared" si="1"/>
        <v>9.6099999999999214E-2</v>
      </c>
    </row>
    <row r="28" spans="1:7" x14ac:dyDescent="0.3">
      <c r="A28">
        <v>24</v>
      </c>
      <c r="G28">
        <f t="shared" si="1"/>
        <v>9.6099999999999214E-2</v>
      </c>
    </row>
    <row r="29" spans="1:7" x14ac:dyDescent="0.3">
      <c r="A29">
        <v>19</v>
      </c>
      <c r="G29">
        <f t="shared" si="1"/>
        <v>21.996100000000013</v>
      </c>
    </row>
    <row r="30" spans="1:7" x14ac:dyDescent="0.3">
      <c r="A30">
        <v>32</v>
      </c>
      <c r="G30">
        <f t="shared" si="1"/>
        <v>69.056099999999972</v>
      </c>
    </row>
    <row r="31" spans="1:7" x14ac:dyDescent="0.3">
      <c r="A31">
        <v>18</v>
      </c>
      <c r="G31">
        <f t="shared" si="1"/>
        <v>32.376100000000015</v>
      </c>
    </row>
    <row r="32" spans="1:7" x14ac:dyDescent="0.3">
      <c r="A32">
        <v>20</v>
      </c>
      <c r="G32">
        <f t="shared" si="1"/>
        <v>13.61610000000001</v>
      </c>
    </row>
    <row r="33" spans="1:7" x14ac:dyDescent="0.3">
      <c r="A33">
        <v>26</v>
      </c>
      <c r="G33">
        <f t="shared" si="1"/>
        <v>5.3360999999999938</v>
      </c>
    </row>
    <row r="34" spans="1:7" x14ac:dyDescent="0.3">
      <c r="A34">
        <v>17</v>
      </c>
      <c r="G34">
        <f t="shared" si="1"/>
        <v>44.756100000000018</v>
      </c>
    </row>
    <row r="35" spans="1:7" x14ac:dyDescent="0.3">
      <c r="A35">
        <v>24</v>
      </c>
      <c r="G35">
        <f t="shared" si="1"/>
        <v>9.6099999999999214E-2</v>
      </c>
    </row>
    <row r="36" spans="1:7" x14ac:dyDescent="0.3">
      <c r="A36">
        <v>16</v>
      </c>
      <c r="G36">
        <f t="shared" si="1"/>
        <v>59.13610000000002</v>
      </c>
    </row>
    <row r="37" spans="1:7" x14ac:dyDescent="0.3">
      <c r="A37">
        <v>24</v>
      </c>
      <c r="G37">
        <f t="shared" si="1"/>
        <v>9.6099999999999214E-2</v>
      </c>
    </row>
    <row r="38" spans="1:7" x14ac:dyDescent="0.3">
      <c r="A38">
        <v>18</v>
      </c>
      <c r="G38">
        <f t="shared" si="1"/>
        <v>32.376100000000015</v>
      </c>
    </row>
    <row r="39" spans="1:7" x14ac:dyDescent="0.3">
      <c r="A39">
        <v>24</v>
      </c>
      <c r="G39">
        <f t="shared" si="1"/>
        <v>9.6099999999999214E-2</v>
      </c>
    </row>
    <row r="40" spans="1:7" x14ac:dyDescent="0.3">
      <c r="A40">
        <v>27</v>
      </c>
      <c r="G40">
        <f t="shared" si="1"/>
        <v>10.956099999999992</v>
      </c>
    </row>
    <row r="41" spans="1:7" x14ac:dyDescent="0.3">
      <c r="A41">
        <v>22</v>
      </c>
      <c r="G41">
        <f t="shared" si="1"/>
        <v>2.8561000000000045</v>
      </c>
    </row>
    <row r="42" spans="1:7" x14ac:dyDescent="0.3">
      <c r="A42">
        <v>16</v>
      </c>
      <c r="G42">
        <f t="shared" si="1"/>
        <v>59.13610000000002</v>
      </c>
    </row>
    <row r="43" spans="1:7" x14ac:dyDescent="0.3">
      <c r="A43">
        <v>23</v>
      </c>
      <c r="G43">
        <f t="shared" si="1"/>
        <v>0.47610000000000174</v>
      </c>
    </row>
    <row r="44" spans="1:7" x14ac:dyDescent="0.3">
      <c r="A44">
        <v>23</v>
      </c>
      <c r="G44">
        <f t="shared" si="1"/>
        <v>0.47610000000000174</v>
      </c>
    </row>
    <row r="45" spans="1:7" x14ac:dyDescent="0.3">
      <c r="A45">
        <v>24</v>
      </c>
      <c r="G45">
        <f t="shared" si="1"/>
        <v>9.6099999999999214E-2</v>
      </c>
    </row>
    <row r="46" spans="1:7" x14ac:dyDescent="0.3">
      <c r="A46">
        <v>19</v>
      </c>
      <c r="G46">
        <f t="shared" si="1"/>
        <v>21.996100000000013</v>
      </c>
    </row>
    <row r="47" spans="1:7" x14ac:dyDescent="0.3">
      <c r="A47">
        <v>16</v>
      </c>
      <c r="G47">
        <f t="shared" si="1"/>
        <v>59.13610000000002</v>
      </c>
    </row>
    <row r="48" spans="1:7" x14ac:dyDescent="0.3">
      <c r="A48">
        <v>28</v>
      </c>
      <c r="G48">
        <f t="shared" si="1"/>
        <v>18.57609999999999</v>
      </c>
    </row>
    <row r="49" spans="1:7" x14ac:dyDescent="0.3">
      <c r="A49">
        <v>20</v>
      </c>
      <c r="G49">
        <f t="shared" si="1"/>
        <v>13.61610000000001</v>
      </c>
    </row>
    <row r="50" spans="1:7" x14ac:dyDescent="0.3">
      <c r="A50">
        <v>19</v>
      </c>
      <c r="G50">
        <f t="shared" si="1"/>
        <v>21.996100000000013</v>
      </c>
    </row>
    <row r="51" spans="1:7" x14ac:dyDescent="0.3">
      <c r="A51">
        <v>25</v>
      </c>
      <c r="G51">
        <f t="shared" si="1"/>
        <v>1.7160999999999966</v>
      </c>
    </row>
    <row r="52" spans="1:7" x14ac:dyDescent="0.3">
      <c r="A52">
        <v>26</v>
      </c>
      <c r="G52">
        <f t="shared" si="1"/>
        <v>5.3360999999999938</v>
      </c>
    </row>
    <row r="53" spans="1:7" x14ac:dyDescent="0.3">
      <c r="A53">
        <v>30</v>
      </c>
      <c r="G53">
        <f t="shared" si="1"/>
        <v>39.816099999999985</v>
      </c>
    </row>
    <row r="54" spans="1:7" x14ac:dyDescent="0.3">
      <c r="A54">
        <v>28</v>
      </c>
      <c r="G54">
        <f t="shared" si="1"/>
        <v>18.57609999999999</v>
      </c>
    </row>
    <row r="55" spans="1:7" x14ac:dyDescent="0.3">
      <c r="A55">
        <v>24</v>
      </c>
      <c r="G55">
        <f t="shared" si="1"/>
        <v>9.6099999999999214E-2</v>
      </c>
    </row>
    <row r="56" spans="1:7" x14ac:dyDescent="0.3">
      <c r="A56">
        <v>22</v>
      </c>
      <c r="G56">
        <f t="shared" si="1"/>
        <v>2.8561000000000045</v>
      </c>
    </row>
    <row r="57" spans="1:7" x14ac:dyDescent="0.3">
      <c r="A57">
        <v>27</v>
      </c>
      <c r="G57">
        <f t="shared" si="1"/>
        <v>10.956099999999992</v>
      </c>
    </row>
    <row r="58" spans="1:7" x14ac:dyDescent="0.3">
      <c r="A58">
        <v>28</v>
      </c>
      <c r="G58">
        <f t="shared" si="1"/>
        <v>18.57609999999999</v>
      </c>
    </row>
    <row r="59" spans="1:7" x14ac:dyDescent="0.3">
      <c r="A59">
        <v>26</v>
      </c>
      <c r="G59">
        <f t="shared" si="1"/>
        <v>5.3360999999999938</v>
      </c>
    </row>
    <row r="60" spans="1:7" x14ac:dyDescent="0.3">
      <c r="A60">
        <v>22</v>
      </c>
      <c r="G60">
        <f t="shared" si="1"/>
        <v>2.8561000000000045</v>
      </c>
    </row>
    <row r="61" spans="1:7" x14ac:dyDescent="0.3">
      <c r="A61">
        <v>20</v>
      </c>
      <c r="G61">
        <f t="shared" si="1"/>
        <v>13.61610000000001</v>
      </c>
    </row>
    <row r="62" spans="1:7" x14ac:dyDescent="0.3">
      <c r="A62">
        <v>26</v>
      </c>
      <c r="G62">
        <f t="shared" si="1"/>
        <v>5.3360999999999938</v>
      </c>
    </row>
    <row r="63" spans="1:7" x14ac:dyDescent="0.3">
      <c r="A63">
        <v>31</v>
      </c>
      <c r="G63">
        <f t="shared" si="1"/>
        <v>53.436099999999982</v>
      </c>
    </row>
    <row r="64" spans="1:7" x14ac:dyDescent="0.3">
      <c r="A64">
        <v>18</v>
      </c>
      <c r="G64">
        <f t="shared" si="1"/>
        <v>32.376100000000015</v>
      </c>
    </row>
    <row r="65" spans="1:7" x14ac:dyDescent="0.3">
      <c r="A65">
        <v>26</v>
      </c>
      <c r="G65">
        <f t="shared" si="1"/>
        <v>5.3360999999999938</v>
      </c>
    </row>
    <row r="66" spans="1:7" x14ac:dyDescent="0.3">
      <c r="A66">
        <v>26</v>
      </c>
      <c r="G66">
        <f t="shared" ref="G66:G129" si="2">(A66-$B$1)^2</f>
        <v>5.3360999999999938</v>
      </c>
    </row>
    <row r="67" spans="1:7" x14ac:dyDescent="0.3">
      <c r="A67">
        <v>18</v>
      </c>
      <c r="G67">
        <f t="shared" si="2"/>
        <v>32.376100000000015</v>
      </c>
    </row>
    <row r="68" spans="1:7" x14ac:dyDescent="0.3">
      <c r="A68">
        <v>25</v>
      </c>
      <c r="G68">
        <f t="shared" si="2"/>
        <v>1.7160999999999966</v>
      </c>
    </row>
    <row r="69" spans="1:7" x14ac:dyDescent="0.3">
      <c r="A69">
        <v>22</v>
      </c>
      <c r="G69">
        <f t="shared" si="2"/>
        <v>2.8561000000000045</v>
      </c>
    </row>
    <row r="70" spans="1:7" x14ac:dyDescent="0.3">
      <c r="A70">
        <v>26</v>
      </c>
      <c r="G70">
        <f t="shared" si="2"/>
        <v>5.3360999999999938</v>
      </c>
    </row>
    <row r="71" spans="1:7" x14ac:dyDescent="0.3">
      <c r="A71">
        <v>23</v>
      </c>
      <c r="G71">
        <f t="shared" si="2"/>
        <v>0.47610000000000174</v>
      </c>
    </row>
    <row r="72" spans="1:7" x14ac:dyDescent="0.3">
      <c r="A72">
        <v>20</v>
      </c>
      <c r="G72">
        <f t="shared" si="2"/>
        <v>13.61610000000001</v>
      </c>
    </row>
    <row r="73" spans="1:7" x14ac:dyDescent="0.3">
      <c r="A73">
        <v>30</v>
      </c>
      <c r="G73">
        <f t="shared" si="2"/>
        <v>39.816099999999985</v>
      </c>
    </row>
    <row r="74" spans="1:7" x14ac:dyDescent="0.3">
      <c r="A74">
        <v>18</v>
      </c>
      <c r="G74">
        <f t="shared" si="2"/>
        <v>32.376100000000015</v>
      </c>
    </row>
    <row r="75" spans="1:7" x14ac:dyDescent="0.3">
      <c r="A75">
        <v>22</v>
      </c>
      <c r="G75">
        <f t="shared" si="2"/>
        <v>2.8561000000000045</v>
      </c>
    </row>
    <row r="76" spans="1:7" x14ac:dyDescent="0.3">
      <c r="A76">
        <v>30</v>
      </c>
      <c r="G76">
        <f t="shared" si="2"/>
        <v>39.816099999999985</v>
      </c>
    </row>
    <row r="77" spans="1:7" x14ac:dyDescent="0.3">
      <c r="A77">
        <v>25</v>
      </c>
      <c r="G77">
        <f t="shared" si="2"/>
        <v>1.7160999999999966</v>
      </c>
    </row>
    <row r="78" spans="1:7" x14ac:dyDescent="0.3">
      <c r="A78">
        <v>17</v>
      </c>
      <c r="G78">
        <f t="shared" si="2"/>
        <v>44.756100000000018</v>
      </c>
    </row>
    <row r="79" spans="1:7" x14ac:dyDescent="0.3">
      <c r="A79">
        <v>23</v>
      </c>
      <c r="G79">
        <f t="shared" si="2"/>
        <v>0.47610000000000174</v>
      </c>
    </row>
    <row r="80" spans="1:7" x14ac:dyDescent="0.3">
      <c r="A80">
        <v>32</v>
      </c>
      <c r="G80">
        <f t="shared" si="2"/>
        <v>69.056099999999972</v>
      </c>
    </row>
    <row r="81" spans="1:7" x14ac:dyDescent="0.3">
      <c r="A81">
        <v>27</v>
      </c>
      <c r="G81">
        <f t="shared" si="2"/>
        <v>10.956099999999992</v>
      </c>
    </row>
    <row r="82" spans="1:7" x14ac:dyDescent="0.3">
      <c r="A82">
        <v>20</v>
      </c>
      <c r="G82">
        <f t="shared" si="2"/>
        <v>13.61610000000001</v>
      </c>
    </row>
    <row r="83" spans="1:7" x14ac:dyDescent="0.3">
      <c r="A83">
        <v>18</v>
      </c>
      <c r="G83">
        <f t="shared" si="2"/>
        <v>32.376100000000015</v>
      </c>
    </row>
    <row r="84" spans="1:7" x14ac:dyDescent="0.3">
      <c r="A84">
        <v>21</v>
      </c>
      <c r="G84">
        <f t="shared" si="2"/>
        <v>7.2361000000000066</v>
      </c>
    </row>
    <row r="85" spans="1:7" x14ac:dyDescent="0.3">
      <c r="A85">
        <v>38</v>
      </c>
      <c r="G85">
        <f t="shared" si="2"/>
        <v>204.77609999999996</v>
      </c>
    </row>
    <row r="86" spans="1:7" x14ac:dyDescent="0.3">
      <c r="A86">
        <v>23</v>
      </c>
      <c r="G86">
        <f t="shared" si="2"/>
        <v>0.47610000000000174</v>
      </c>
    </row>
    <row r="87" spans="1:7" x14ac:dyDescent="0.3">
      <c r="A87">
        <v>25</v>
      </c>
      <c r="G87">
        <f t="shared" si="2"/>
        <v>1.7160999999999966</v>
      </c>
    </row>
    <row r="88" spans="1:7" x14ac:dyDescent="0.3">
      <c r="A88">
        <v>15</v>
      </c>
      <c r="G88">
        <f t="shared" si="2"/>
        <v>75.516100000000023</v>
      </c>
    </row>
    <row r="89" spans="1:7" x14ac:dyDescent="0.3">
      <c r="A89">
        <v>30</v>
      </c>
      <c r="G89">
        <f t="shared" si="2"/>
        <v>39.816099999999985</v>
      </c>
    </row>
    <row r="90" spans="1:7" x14ac:dyDescent="0.3">
      <c r="A90">
        <v>18</v>
      </c>
      <c r="G90">
        <f t="shared" si="2"/>
        <v>32.376100000000015</v>
      </c>
    </row>
    <row r="91" spans="1:7" x14ac:dyDescent="0.3">
      <c r="A91">
        <v>16</v>
      </c>
      <c r="G91">
        <f t="shared" si="2"/>
        <v>59.13610000000002</v>
      </c>
    </row>
    <row r="92" spans="1:7" x14ac:dyDescent="0.3">
      <c r="A92">
        <v>30</v>
      </c>
      <c r="G92">
        <f t="shared" si="2"/>
        <v>39.816099999999985</v>
      </c>
    </row>
    <row r="93" spans="1:7" x14ac:dyDescent="0.3">
      <c r="A93">
        <v>27</v>
      </c>
      <c r="G93">
        <f t="shared" si="2"/>
        <v>10.956099999999992</v>
      </c>
    </row>
    <row r="94" spans="1:7" x14ac:dyDescent="0.3">
      <c r="A94">
        <v>22</v>
      </c>
      <c r="G94">
        <f t="shared" si="2"/>
        <v>2.8561000000000045</v>
      </c>
    </row>
    <row r="95" spans="1:7" x14ac:dyDescent="0.3">
      <c r="A95">
        <v>20</v>
      </c>
      <c r="G95">
        <f t="shared" si="2"/>
        <v>13.61610000000001</v>
      </c>
    </row>
    <row r="96" spans="1:7" x14ac:dyDescent="0.3">
      <c r="A96">
        <v>34</v>
      </c>
      <c r="G96">
        <f t="shared" si="2"/>
        <v>106.29609999999997</v>
      </c>
    </row>
    <row r="97" spans="1:7" x14ac:dyDescent="0.3">
      <c r="A97">
        <v>25</v>
      </c>
      <c r="G97">
        <f t="shared" si="2"/>
        <v>1.7160999999999966</v>
      </c>
    </row>
    <row r="98" spans="1:7" x14ac:dyDescent="0.3">
      <c r="A98">
        <v>23</v>
      </c>
      <c r="G98">
        <f t="shared" si="2"/>
        <v>0.47610000000000174</v>
      </c>
    </row>
    <row r="99" spans="1:7" x14ac:dyDescent="0.3">
      <c r="A99">
        <v>22</v>
      </c>
      <c r="G99">
        <f t="shared" si="2"/>
        <v>2.8561000000000045</v>
      </c>
    </row>
    <row r="100" spans="1:7" x14ac:dyDescent="0.3">
      <c r="A100">
        <v>36</v>
      </c>
      <c r="G100">
        <f t="shared" si="2"/>
        <v>151.53609999999998</v>
      </c>
    </row>
    <row r="101" spans="1:7" x14ac:dyDescent="0.3">
      <c r="A101">
        <v>25</v>
      </c>
      <c r="G101">
        <f t="shared" si="2"/>
        <v>1.7160999999999966</v>
      </c>
    </row>
    <row r="102" spans="1:7" x14ac:dyDescent="0.3">
      <c r="A102">
        <v>26</v>
      </c>
      <c r="G102">
        <f t="shared" si="2"/>
        <v>5.3360999999999938</v>
      </c>
    </row>
    <row r="103" spans="1:7" x14ac:dyDescent="0.3">
      <c r="A103">
        <v>29</v>
      </c>
      <c r="G103">
        <f t="shared" si="2"/>
        <v>28.196099999999987</v>
      </c>
    </row>
    <row r="104" spans="1:7" x14ac:dyDescent="0.3">
      <c r="A104">
        <v>25</v>
      </c>
      <c r="G104">
        <f t="shared" si="2"/>
        <v>1.7160999999999966</v>
      </c>
    </row>
    <row r="105" spans="1:7" x14ac:dyDescent="0.3">
      <c r="A105">
        <v>18</v>
      </c>
      <c r="G105">
        <f t="shared" si="2"/>
        <v>32.376100000000015</v>
      </c>
    </row>
    <row r="106" spans="1:7" x14ac:dyDescent="0.3">
      <c r="A106">
        <v>20</v>
      </c>
      <c r="G106">
        <f t="shared" si="2"/>
        <v>13.61610000000001</v>
      </c>
    </row>
    <row r="107" spans="1:7" x14ac:dyDescent="0.3">
      <c r="A107">
        <v>23</v>
      </c>
      <c r="G107">
        <f t="shared" si="2"/>
        <v>0.47610000000000174</v>
      </c>
    </row>
    <row r="108" spans="1:7" x14ac:dyDescent="0.3">
      <c r="A108">
        <v>29</v>
      </c>
      <c r="G108">
        <f t="shared" si="2"/>
        <v>28.196099999999987</v>
      </c>
    </row>
    <row r="109" spans="1:7" x14ac:dyDescent="0.3">
      <c r="A109">
        <v>28</v>
      </c>
      <c r="G109">
        <f t="shared" si="2"/>
        <v>18.57609999999999</v>
      </c>
    </row>
    <row r="110" spans="1:7" x14ac:dyDescent="0.3">
      <c r="A110">
        <v>27</v>
      </c>
      <c r="G110">
        <f t="shared" si="2"/>
        <v>10.956099999999992</v>
      </c>
    </row>
    <row r="111" spans="1:7" x14ac:dyDescent="0.3">
      <c r="A111">
        <v>27</v>
      </c>
      <c r="G111">
        <f t="shared" si="2"/>
        <v>10.956099999999992</v>
      </c>
    </row>
    <row r="112" spans="1:7" x14ac:dyDescent="0.3">
      <c r="A112">
        <v>25</v>
      </c>
      <c r="G112">
        <f t="shared" si="2"/>
        <v>1.7160999999999966</v>
      </c>
    </row>
    <row r="113" spans="1:7" x14ac:dyDescent="0.3">
      <c r="A113">
        <v>21</v>
      </c>
      <c r="G113">
        <f t="shared" si="2"/>
        <v>7.2361000000000066</v>
      </c>
    </row>
    <row r="114" spans="1:7" x14ac:dyDescent="0.3">
      <c r="A114">
        <v>29</v>
      </c>
      <c r="G114">
        <f t="shared" si="2"/>
        <v>28.196099999999987</v>
      </c>
    </row>
    <row r="115" spans="1:7" x14ac:dyDescent="0.3">
      <c r="A115">
        <v>23</v>
      </c>
      <c r="G115">
        <f t="shared" si="2"/>
        <v>0.47610000000000174</v>
      </c>
    </row>
    <row r="116" spans="1:7" x14ac:dyDescent="0.3">
      <c r="A116">
        <v>18</v>
      </c>
      <c r="G116">
        <f t="shared" si="2"/>
        <v>32.376100000000015</v>
      </c>
    </row>
    <row r="117" spans="1:7" x14ac:dyDescent="0.3">
      <c r="A117">
        <v>17</v>
      </c>
      <c r="G117">
        <f t="shared" si="2"/>
        <v>44.756100000000018</v>
      </c>
    </row>
    <row r="118" spans="1:7" x14ac:dyDescent="0.3">
      <c r="A118">
        <v>20</v>
      </c>
      <c r="G118">
        <f t="shared" si="2"/>
        <v>13.61610000000001</v>
      </c>
    </row>
    <row r="119" spans="1:7" x14ac:dyDescent="0.3">
      <c r="A119">
        <v>25</v>
      </c>
      <c r="G119">
        <f t="shared" si="2"/>
        <v>1.7160999999999966</v>
      </c>
    </row>
    <row r="120" spans="1:7" x14ac:dyDescent="0.3">
      <c r="A120">
        <v>18</v>
      </c>
      <c r="G120">
        <f t="shared" si="2"/>
        <v>32.376100000000015</v>
      </c>
    </row>
    <row r="121" spans="1:7" x14ac:dyDescent="0.3">
      <c r="A121">
        <v>23</v>
      </c>
      <c r="G121">
        <f t="shared" si="2"/>
        <v>0.47610000000000174</v>
      </c>
    </row>
    <row r="122" spans="1:7" x14ac:dyDescent="0.3">
      <c r="A122">
        <v>29</v>
      </c>
      <c r="G122">
        <f t="shared" si="2"/>
        <v>28.196099999999987</v>
      </c>
    </row>
    <row r="123" spans="1:7" x14ac:dyDescent="0.3">
      <c r="A123">
        <v>28</v>
      </c>
      <c r="G123">
        <f t="shared" si="2"/>
        <v>18.57609999999999</v>
      </c>
    </row>
    <row r="124" spans="1:7" x14ac:dyDescent="0.3">
      <c r="A124">
        <v>28</v>
      </c>
      <c r="G124">
        <f t="shared" si="2"/>
        <v>18.57609999999999</v>
      </c>
    </row>
    <row r="125" spans="1:7" x14ac:dyDescent="0.3">
      <c r="A125">
        <v>19</v>
      </c>
      <c r="G125">
        <f t="shared" si="2"/>
        <v>21.996100000000013</v>
      </c>
    </row>
    <row r="126" spans="1:7" x14ac:dyDescent="0.3">
      <c r="A126">
        <v>25</v>
      </c>
      <c r="G126">
        <f t="shared" si="2"/>
        <v>1.7160999999999966</v>
      </c>
    </row>
    <row r="127" spans="1:7" x14ac:dyDescent="0.3">
      <c r="A127">
        <v>24</v>
      </c>
      <c r="G127">
        <f t="shared" si="2"/>
        <v>9.6099999999999214E-2</v>
      </c>
    </row>
    <row r="128" spans="1:7" x14ac:dyDescent="0.3">
      <c r="A128">
        <v>19</v>
      </c>
      <c r="G128">
        <f t="shared" si="2"/>
        <v>21.996100000000013</v>
      </c>
    </row>
    <row r="129" spans="1:7" x14ac:dyDescent="0.3">
      <c r="A129">
        <v>23</v>
      </c>
      <c r="G129">
        <f t="shared" si="2"/>
        <v>0.47610000000000174</v>
      </c>
    </row>
    <row r="130" spans="1:7" x14ac:dyDescent="0.3">
      <c r="A130">
        <v>23</v>
      </c>
      <c r="G130">
        <f t="shared" ref="G130:G193" si="3">(A130-$B$1)^2</f>
        <v>0.47610000000000174</v>
      </c>
    </row>
    <row r="131" spans="1:7" x14ac:dyDescent="0.3">
      <c r="A131">
        <v>25</v>
      </c>
      <c r="G131">
        <f t="shared" si="3"/>
        <v>1.7160999999999966</v>
      </c>
    </row>
    <row r="132" spans="1:7" x14ac:dyDescent="0.3">
      <c r="A132">
        <v>25</v>
      </c>
      <c r="G132">
        <f t="shared" si="3"/>
        <v>1.7160999999999966</v>
      </c>
    </row>
    <row r="133" spans="1:7" x14ac:dyDescent="0.3">
      <c r="A133">
        <v>24</v>
      </c>
      <c r="G133">
        <f t="shared" si="3"/>
        <v>9.6099999999999214E-2</v>
      </c>
    </row>
    <row r="134" spans="1:7" x14ac:dyDescent="0.3">
      <c r="A134">
        <v>28</v>
      </c>
      <c r="G134">
        <f t="shared" si="3"/>
        <v>18.57609999999999</v>
      </c>
    </row>
    <row r="135" spans="1:7" x14ac:dyDescent="0.3">
      <c r="A135">
        <v>17</v>
      </c>
      <c r="G135">
        <f t="shared" si="3"/>
        <v>44.756100000000018</v>
      </c>
    </row>
    <row r="136" spans="1:7" x14ac:dyDescent="0.3">
      <c r="A136">
        <v>26</v>
      </c>
      <c r="G136">
        <f t="shared" si="3"/>
        <v>5.3360999999999938</v>
      </c>
    </row>
    <row r="137" spans="1:7" x14ac:dyDescent="0.3">
      <c r="A137">
        <v>23</v>
      </c>
      <c r="G137">
        <f t="shared" si="3"/>
        <v>0.47610000000000174</v>
      </c>
    </row>
    <row r="138" spans="1:7" x14ac:dyDescent="0.3">
      <c r="A138">
        <v>23</v>
      </c>
      <c r="G138">
        <f t="shared" si="3"/>
        <v>0.47610000000000174</v>
      </c>
    </row>
    <row r="139" spans="1:7" x14ac:dyDescent="0.3">
      <c r="A139">
        <v>26</v>
      </c>
      <c r="G139">
        <f t="shared" si="3"/>
        <v>5.3360999999999938</v>
      </c>
    </row>
    <row r="140" spans="1:7" x14ac:dyDescent="0.3">
      <c r="A140">
        <v>21</v>
      </c>
      <c r="G140">
        <f t="shared" si="3"/>
        <v>7.2361000000000066</v>
      </c>
    </row>
    <row r="141" spans="1:7" x14ac:dyDescent="0.3">
      <c r="A141">
        <v>27</v>
      </c>
      <c r="G141">
        <f t="shared" si="3"/>
        <v>10.956099999999992</v>
      </c>
    </row>
    <row r="142" spans="1:7" x14ac:dyDescent="0.3">
      <c r="A142">
        <v>25</v>
      </c>
      <c r="G142">
        <f t="shared" si="3"/>
        <v>1.7160999999999966</v>
      </c>
    </row>
    <row r="143" spans="1:7" x14ac:dyDescent="0.3">
      <c r="A143">
        <v>20</v>
      </c>
      <c r="G143">
        <f t="shared" si="3"/>
        <v>13.61610000000001</v>
      </c>
    </row>
    <row r="144" spans="1:7" x14ac:dyDescent="0.3">
      <c r="A144">
        <v>22</v>
      </c>
      <c r="G144">
        <f t="shared" si="3"/>
        <v>2.8561000000000045</v>
      </c>
    </row>
    <row r="145" spans="1:7" x14ac:dyDescent="0.3">
      <c r="A145">
        <v>23</v>
      </c>
      <c r="G145">
        <f t="shared" si="3"/>
        <v>0.47610000000000174</v>
      </c>
    </row>
    <row r="146" spans="1:7" x14ac:dyDescent="0.3">
      <c r="A146">
        <v>28</v>
      </c>
      <c r="G146">
        <f t="shared" si="3"/>
        <v>18.57609999999999</v>
      </c>
    </row>
    <row r="147" spans="1:7" x14ac:dyDescent="0.3">
      <c r="A147">
        <v>19</v>
      </c>
      <c r="G147">
        <f t="shared" si="3"/>
        <v>21.996100000000013</v>
      </c>
    </row>
    <row r="148" spans="1:7" x14ac:dyDescent="0.3">
      <c r="A148">
        <v>23</v>
      </c>
      <c r="G148">
        <f t="shared" si="3"/>
        <v>0.47610000000000174</v>
      </c>
    </row>
    <row r="149" spans="1:7" x14ac:dyDescent="0.3">
      <c r="A149">
        <v>20</v>
      </c>
      <c r="G149">
        <f t="shared" si="3"/>
        <v>13.61610000000001</v>
      </c>
    </row>
    <row r="150" spans="1:7" x14ac:dyDescent="0.3">
      <c r="A150">
        <v>26</v>
      </c>
      <c r="G150">
        <f t="shared" si="3"/>
        <v>5.3360999999999938</v>
      </c>
    </row>
    <row r="151" spans="1:7" x14ac:dyDescent="0.3">
      <c r="A151">
        <v>19</v>
      </c>
      <c r="G151">
        <f t="shared" si="3"/>
        <v>21.996100000000013</v>
      </c>
    </row>
    <row r="152" spans="1:7" x14ac:dyDescent="0.3">
      <c r="A152">
        <v>26</v>
      </c>
      <c r="G152">
        <f t="shared" si="3"/>
        <v>5.3360999999999938</v>
      </c>
    </row>
    <row r="153" spans="1:7" x14ac:dyDescent="0.3">
      <c r="A153">
        <v>21</v>
      </c>
      <c r="G153">
        <f t="shared" si="3"/>
        <v>7.2361000000000066</v>
      </c>
    </row>
    <row r="154" spans="1:7" x14ac:dyDescent="0.3">
      <c r="A154">
        <v>25</v>
      </c>
      <c r="G154">
        <f t="shared" si="3"/>
        <v>1.7160999999999966</v>
      </c>
    </row>
    <row r="155" spans="1:7" x14ac:dyDescent="0.3">
      <c r="A155">
        <v>27</v>
      </c>
      <c r="G155">
        <f t="shared" si="3"/>
        <v>10.956099999999992</v>
      </c>
    </row>
    <row r="156" spans="1:7" x14ac:dyDescent="0.3">
      <c r="A156">
        <v>31</v>
      </c>
      <c r="G156">
        <f t="shared" si="3"/>
        <v>53.436099999999982</v>
      </c>
    </row>
    <row r="157" spans="1:7" x14ac:dyDescent="0.3">
      <c r="A157">
        <v>31</v>
      </c>
      <c r="G157">
        <f t="shared" si="3"/>
        <v>53.436099999999982</v>
      </c>
    </row>
    <row r="158" spans="1:7" x14ac:dyDescent="0.3">
      <c r="A158">
        <v>29</v>
      </c>
      <c r="G158">
        <f t="shared" si="3"/>
        <v>28.196099999999987</v>
      </c>
    </row>
    <row r="159" spans="1:7" x14ac:dyDescent="0.3">
      <c r="A159">
        <v>19</v>
      </c>
      <c r="G159">
        <f t="shared" si="3"/>
        <v>21.996100000000013</v>
      </c>
    </row>
    <row r="160" spans="1:7" x14ac:dyDescent="0.3">
      <c r="A160">
        <v>25</v>
      </c>
      <c r="G160">
        <f t="shared" si="3"/>
        <v>1.7160999999999966</v>
      </c>
    </row>
    <row r="161" spans="1:7" x14ac:dyDescent="0.3">
      <c r="A161">
        <v>20</v>
      </c>
      <c r="G161">
        <f t="shared" si="3"/>
        <v>13.61610000000001</v>
      </c>
    </row>
    <row r="162" spans="1:7" x14ac:dyDescent="0.3">
      <c r="A162">
        <v>19</v>
      </c>
      <c r="G162">
        <f t="shared" si="3"/>
        <v>21.996100000000013</v>
      </c>
    </row>
    <row r="163" spans="1:7" x14ac:dyDescent="0.3">
      <c r="A163">
        <v>24</v>
      </c>
      <c r="G163">
        <f t="shared" si="3"/>
        <v>9.6099999999999214E-2</v>
      </c>
    </row>
    <row r="164" spans="1:7" x14ac:dyDescent="0.3">
      <c r="A164">
        <v>15</v>
      </c>
      <c r="G164">
        <f t="shared" si="3"/>
        <v>75.516100000000023</v>
      </c>
    </row>
    <row r="165" spans="1:7" x14ac:dyDescent="0.3">
      <c r="A165">
        <v>30</v>
      </c>
      <c r="G165">
        <f t="shared" si="3"/>
        <v>39.816099999999985</v>
      </c>
    </row>
    <row r="166" spans="1:7" x14ac:dyDescent="0.3">
      <c r="A166">
        <v>24</v>
      </c>
      <c r="G166">
        <f t="shared" si="3"/>
        <v>9.6099999999999214E-2</v>
      </c>
    </row>
    <row r="167" spans="1:7" x14ac:dyDescent="0.3">
      <c r="A167">
        <v>22</v>
      </c>
      <c r="G167">
        <f t="shared" si="3"/>
        <v>2.8561000000000045</v>
      </c>
    </row>
    <row r="168" spans="1:7" x14ac:dyDescent="0.3">
      <c r="A168">
        <v>25</v>
      </c>
      <c r="G168">
        <f t="shared" si="3"/>
        <v>1.7160999999999966</v>
      </c>
    </row>
    <row r="169" spans="1:7" x14ac:dyDescent="0.3">
      <c r="A169">
        <v>21</v>
      </c>
      <c r="G169">
        <f t="shared" si="3"/>
        <v>7.2361000000000066</v>
      </c>
    </row>
    <row r="170" spans="1:7" x14ac:dyDescent="0.3">
      <c r="A170">
        <v>24</v>
      </c>
      <c r="G170">
        <f t="shared" si="3"/>
        <v>9.6099999999999214E-2</v>
      </c>
    </row>
    <row r="171" spans="1:7" x14ac:dyDescent="0.3">
      <c r="A171">
        <v>23</v>
      </c>
      <c r="G171">
        <f t="shared" si="3"/>
        <v>0.47610000000000174</v>
      </c>
    </row>
    <row r="172" spans="1:7" x14ac:dyDescent="0.3">
      <c r="A172">
        <v>16</v>
      </c>
      <c r="G172">
        <f t="shared" si="3"/>
        <v>59.13610000000002</v>
      </c>
    </row>
    <row r="173" spans="1:7" x14ac:dyDescent="0.3">
      <c r="A173">
        <v>19</v>
      </c>
      <c r="G173">
        <f t="shared" si="3"/>
        <v>21.996100000000013</v>
      </c>
    </row>
    <row r="174" spans="1:7" x14ac:dyDescent="0.3">
      <c r="A174">
        <v>15</v>
      </c>
      <c r="G174">
        <f t="shared" si="3"/>
        <v>75.516100000000023</v>
      </c>
    </row>
    <row r="175" spans="1:7" x14ac:dyDescent="0.3">
      <c r="A175">
        <v>19</v>
      </c>
      <c r="G175">
        <f t="shared" si="3"/>
        <v>21.996100000000013</v>
      </c>
    </row>
    <row r="176" spans="1:7" x14ac:dyDescent="0.3">
      <c r="A176">
        <v>20</v>
      </c>
      <c r="G176">
        <f t="shared" si="3"/>
        <v>13.61610000000001</v>
      </c>
    </row>
    <row r="177" spans="1:7" x14ac:dyDescent="0.3">
      <c r="A177">
        <v>22</v>
      </c>
      <c r="G177">
        <f t="shared" si="3"/>
        <v>2.8561000000000045</v>
      </c>
    </row>
    <row r="178" spans="1:7" x14ac:dyDescent="0.3">
      <c r="A178">
        <v>23</v>
      </c>
      <c r="G178">
        <f t="shared" si="3"/>
        <v>0.47610000000000174</v>
      </c>
    </row>
    <row r="179" spans="1:7" x14ac:dyDescent="0.3">
      <c r="A179">
        <v>22</v>
      </c>
      <c r="G179">
        <f t="shared" si="3"/>
        <v>2.8561000000000045</v>
      </c>
    </row>
    <row r="180" spans="1:7" x14ac:dyDescent="0.3">
      <c r="A180">
        <v>26</v>
      </c>
      <c r="G180">
        <f t="shared" si="3"/>
        <v>5.3360999999999938</v>
      </c>
    </row>
    <row r="181" spans="1:7" x14ac:dyDescent="0.3">
      <c r="A181">
        <v>21</v>
      </c>
      <c r="G181">
        <f t="shared" si="3"/>
        <v>7.2361000000000066</v>
      </c>
    </row>
    <row r="182" spans="1:7" x14ac:dyDescent="0.3">
      <c r="A182">
        <v>21</v>
      </c>
      <c r="G182">
        <f t="shared" si="3"/>
        <v>7.2361000000000066</v>
      </c>
    </row>
    <row r="183" spans="1:7" x14ac:dyDescent="0.3">
      <c r="A183">
        <v>25</v>
      </c>
      <c r="G183">
        <f t="shared" si="3"/>
        <v>1.7160999999999966</v>
      </c>
    </row>
    <row r="184" spans="1:7" x14ac:dyDescent="0.3">
      <c r="A184">
        <v>26</v>
      </c>
      <c r="G184">
        <f t="shared" si="3"/>
        <v>5.3360999999999938</v>
      </c>
    </row>
    <row r="185" spans="1:7" x14ac:dyDescent="0.3">
      <c r="A185">
        <v>14</v>
      </c>
      <c r="G185">
        <f t="shared" si="3"/>
        <v>93.896100000000018</v>
      </c>
    </row>
    <row r="186" spans="1:7" x14ac:dyDescent="0.3">
      <c r="A186">
        <v>24</v>
      </c>
      <c r="G186">
        <f t="shared" si="3"/>
        <v>9.6099999999999214E-2</v>
      </c>
    </row>
    <row r="187" spans="1:7" x14ac:dyDescent="0.3">
      <c r="A187">
        <v>17</v>
      </c>
      <c r="G187">
        <f t="shared" si="3"/>
        <v>44.756100000000018</v>
      </c>
    </row>
    <row r="188" spans="1:7" x14ac:dyDescent="0.3">
      <c r="A188">
        <v>25</v>
      </c>
      <c r="G188">
        <f t="shared" si="3"/>
        <v>1.7160999999999966</v>
      </c>
    </row>
    <row r="189" spans="1:7" x14ac:dyDescent="0.3">
      <c r="A189">
        <v>17</v>
      </c>
      <c r="G189">
        <f t="shared" si="3"/>
        <v>44.756100000000018</v>
      </c>
    </row>
    <row r="190" spans="1:7" x14ac:dyDescent="0.3">
      <c r="A190">
        <v>28</v>
      </c>
      <c r="G190">
        <f t="shared" si="3"/>
        <v>18.57609999999999</v>
      </c>
    </row>
    <row r="191" spans="1:7" x14ac:dyDescent="0.3">
      <c r="A191">
        <v>26</v>
      </c>
      <c r="G191">
        <f t="shared" si="3"/>
        <v>5.3360999999999938</v>
      </c>
    </row>
    <row r="192" spans="1:7" x14ac:dyDescent="0.3">
      <c r="A192">
        <v>25</v>
      </c>
      <c r="G192">
        <f t="shared" si="3"/>
        <v>1.7160999999999966</v>
      </c>
    </row>
    <row r="193" spans="1:7" x14ac:dyDescent="0.3">
      <c r="A193">
        <v>22</v>
      </c>
      <c r="G193">
        <f t="shared" si="3"/>
        <v>2.8561000000000045</v>
      </c>
    </row>
    <row r="194" spans="1:7" x14ac:dyDescent="0.3">
      <c r="A194">
        <v>29</v>
      </c>
      <c r="G194">
        <f t="shared" ref="G194:G200" si="4">(A194-$B$1)^2</f>
        <v>28.196099999999987</v>
      </c>
    </row>
    <row r="195" spans="1:7" x14ac:dyDescent="0.3">
      <c r="A195">
        <v>21</v>
      </c>
      <c r="G195">
        <f t="shared" si="4"/>
        <v>7.2361000000000066</v>
      </c>
    </row>
    <row r="196" spans="1:7" x14ac:dyDescent="0.3">
      <c r="A196">
        <v>22</v>
      </c>
      <c r="G196">
        <f t="shared" si="4"/>
        <v>2.8561000000000045</v>
      </c>
    </row>
    <row r="197" spans="1:7" x14ac:dyDescent="0.3">
      <c r="A197">
        <v>23</v>
      </c>
      <c r="G197">
        <f t="shared" si="4"/>
        <v>0.47610000000000174</v>
      </c>
    </row>
    <row r="198" spans="1:7" x14ac:dyDescent="0.3">
      <c r="A198">
        <v>37</v>
      </c>
      <c r="G198">
        <f t="shared" si="4"/>
        <v>177.15609999999995</v>
      </c>
    </row>
    <row r="199" spans="1:7" x14ac:dyDescent="0.3">
      <c r="A199">
        <v>31</v>
      </c>
      <c r="G199">
        <f t="shared" si="4"/>
        <v>53.436099999999982</v>
      </c>
    </row>
    <row r="200" spans="1:7" x14ac:dyDescent="0.3">
      <c r="A200">
        <v>26</v>
      </c>
      <c r="G200">
        <f t="shared" si="4"/>
        <v>5.3360999999999938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F5A5-0461-4FCB-BF14-65C4E58663BC}">
  <dimension ref="A1:P100"/>
  <sheetViews>
    <sheetView workbookViewId="0">
      <selection activeCell="O5" sqref="O5:P6"/>
    </sheetView>
  </sheetViews>
  <sheetFormatPr defaultRowHeight="14.4" x14ac:dyDescent="0.3"/>
  <sheetData>
    <row r="1" spans="1:16" x14ac:dyDescent="0.3">
      <c r="A1">
        <v>58</v>
      </c>
      <c r="B1">
        <f t="shared" ref="B1" si="0">AVERAGE(A:A)</f>
        <v>47.38</v>
      </c>
      <c r="C1" s="1">
        <v>31</v>
      </c>
      <c r="D1" s="1">
        <v>1</v>
      </c>
      <c r="E1" s="1">
        <f>D1/100</f>
        <v>0.01</v>
      </c>
      <c r="G1">
        <f>(A1-$B$1)^2</f>
        <v>112.78439999999995</v>
      </c>
    </row>
    <row r="2" spans="1:16" x14ac:dyDescent="0.3">
      <c r="A2">
        <v>50</v>
      </c>
      <c r="C2" s="1">
        <v>32</v>
      </c>
      <c r="D2" s="1">
        <v>0</v>
      </c>
      <c r="E2" s="1">
        <f t="shared" ref="E2:E31" si="1">D2/100</f>
        <v>0</v>
      </c>
      <c r="G2">
        <f t="shared" ref="G2:G65" si="2">(A2-$B$1)^2</f>
        <v>6.8643999999999865</v>
      </c>
    </row>
    <row r="3" spans="1:16" x14ac:dyDescent="0.3">
      <c r="A3">
        <v>49</v>
      </c>
      <c r="C3" s="1">
        <v>33</v>
      </c>
      <c r="D3" s="1">
        <v>0</v>
      </c>
      <c r="E3" s="1">
        <f t="shared" si="1"/>
        <v>0</v>
      </c>
      <c r="G3">
        <f t="shared" si="2"/>
        <v>2.6243999999999916</v>
      </c>
    </row>
    <row r="4" spans="1:16" x14ac:dyDescent="0.3">
      <c r="A4">
        <v>57</v>
      </c>
      <c r="C4" s="1">
        <v>34</v>
      </c>
      <c r="D4" s="1">
        <v>1</v>
      </c>
      <c r="E4" s="1">
        <f t="shared" si="1"/>
        <v>0.01</v>
      </c>
      <c r="G4">
        <f t="shared" si="2"/>
        <v>92.544399999999953</v>
      </c>
    </row>
    <row r="5" spans="1:16" x14ac:dyDescent="0.3">
      <c r="A5">
        <v>51</v>
      </c>
      <c r="C5" s="1">
        <v>35</v>
      </c>
      <c r="D5" s="1">
        <v>0</v>
      </c>
      <c r="E5" s="1">
        <f t="shared" si="1"/>
        <v>0</v>
      </c>
      <c r="G5">
        <f t="shared" si="2"/>
        <v>13.104399999999982</v>
      </c>
      <c r="M5" t="s">
        <v>0</v>
      </c>
      <c r="N5" t="s">
        <v>1</v>
      </c>
      <c r="O5" t="s">
        <v>2</v>
      </c>
      <c r="P5" t="s">
        <v>3</v>
      </c>
    </row>
    <row r="6" spans="1:16" x14ac:dyDescent="0.3">
      <c r="A6">
        <v>31</v>
      </c>
      <c r="C6" s="1">
        <v>36</v>
      </c>
      <c r="D6" s="1">
        <v>0</v>
      </c>
      <c r="E6" s="1">
        <f t="shared" si="1"/>
        <v>0</v>
      </c>
      <c r="G6">
        <f t="shared" si="2"/>
        <v>268.3044000000001</v>
      </c>
      <c r="M6">
        <f>SQRT(SUM(G:G)/100)</f>
        <v>6.4711359126508841</v>
      </c>
      <c r="N6">
        <f>M6/SQRT(100)</f>
        <v>0.64711359126508838</v>
      </c>
      <c r="O6">
        <f>B1/40</f>
        <v>1.1845000000000001</v>
      </c>
      <c r="P6">
        <f>N6/40</f>
        <v>1.617783978162721E-2</v>
      </c>
    </row>
    <row r="7" spans="1:16" x14ac:dyDescent="0.3">
      <c r="A7">
        <v>46</v>
      </c>
      <c r="C7">
        <v>37</v>
      </c>
      <c r="D7">
        <v>2</v>
      </c>
      <c r="E7">
        <f t="shared" si="1"/>
        <v>0.02</v>
      </c>
      <c r="G7">
        <f t="shared" si="2"/>
        <v>1.904400000000007</v>
      </c>
    </row>
    <row r="8" spans="1:16" x14ac:dyDescent="0.3">
      <c r="A8">
        <v>60</v>
      </c>
      <c r="C8">
        <v>38</v>
      </c>
      <c r="D8">
        <v>4</v>
      </c>
      <c r="E8">
        <f t="shared" si="1"/>
        <v>0.04</v>
      </c>
      <c r="G8">
        <f t="shared" si="2"/>
        <v>159.26439999999994</v>
      </c>
    </row>
    <row r="9" spans="1:16" x14ac:dyDescent="0.3">
      <c r="A9">
        <v>47</v>
      </c>
      <c r="C9">
        <v>39</v>
      </c>
      <c r="D9">
        <v>6</v>
      </c>
      <c r="E9">
        <f t="shared" si="1"/>
        <v>0.06</v>
      </c>
      <c r="G9">
        <f t="shared" si="2"/>
        <v>0.14440000000000194</v>
      </c>
    </row>
    <row r="10" spans="1:16" x14ac:dyDescent="0.3">
      <c r="A10">
        <v>55</v>
      </c>
      <c r="C10">
        <v>40</v>
      </c>
      <c r="D10">
        <v>2</v>
      </c>
      <c r="E10">
        <f t="shared" si="1"/>
        <v>0.02</v>
      </c>
      <c r="G10">
        <f t="shared" si="2"/>
        <v>58.064399999999964</v>
      </c>
    </row>
    <row r="11" spans="1:16" x14ac:dyDescent="0.3">
      <c r="A11">
        <v>59</v>
      </c>
      <c r="C11">
        <v>41</v>
      </c>
      <c r="D11">
        <v>1</v>
      </c>
      <c r="E11">
        <f t="shared" si="1"/>
        <v>0.01</v>
      </c>
      <c r="G11">
        <f t="shared" si="2"/>
        <v>135.02439999999993</v>
      </c>
    </row>
    <row r="12" spans="1:16" x14ac:dyDescent="0.3">
      <c r="A12">
        <v>37</v>
      </c>
      <c r="C12">
        <v>42</v>
      </c>
      <c r="D12">
        <v>7</v>
      </c>
      <c r="E12">
        <f t="shared" si="1"/>
        <v>7.0000000000000007E-2</v>
      </c>
      <c r="G12">
        <f t="shared" si="2"/>
        <v>107.74440000000006</v>
      </c>
    </row>
    <row r="13" spans="1:16" x14ac:dyDescent="0.3">
      <c r="A13">
        <v>42</v>
      </c>
      <c r="C13">
        <v>43</v>
      </c>
      <c r="D13">
        <v>8</v>
      </c>
      <c r="E13">
        <f t="shared" si="1"/>
        <v>0.08</v>
      </c>
      <c r="G13">
        <f t="shared" si="2"/>
        <v>28.944400000000027</v>
      </c>
    </row>
    <row r="14" spans="1:16" x14ac:dyDescent="0.3">
      <c r="A14">
        <v>48</v>
      </c>
      <c r="C14">
        <v>44</v>
      </c>
      <c r="D14">
        <v>3</v>
      </c>
      <c r="E14">
        <f t="shared" si="1"/>
        <v>0.03</v>
      </c>
      <c r="G14">
        <f t="shared" si="2"/>
        <v>0.38439999999999686</v>
      </c>
    </row>
    <row r="15" spans="1:16" x14ac:dyDescent="0.3">
      <c r="A15">
        <v>51</v>
      </c>
      <c r="C15">
        <v>45</v>
      </c>
      <c r="D15">
        <v>4</v>
      </c>
      <c r="E15">
        <f t="shared" si="1"/>
        <v>0.04</v>
      </c>
      <c r="G15">
        <f t="shared" si="2"/>
        <v>13.104399999999982</v>
      </c>
    </row>
    <row r="16" spans="1:16" x14ac:dyDescent="0.3">
      <c r="A16">
        <v>38</v>
      </c>
      <c r="C16">
        <v>46</v>
      </c>
      <c r="D16">
        <v>9</v>
      </c>
      <c r="E16">
        <f t="shared" si="1"/>
        <v>0.09</v>
      </c>
      <c r="G16">
        <f t="shared" si="2"/>
        <v>87.984400000000051</v>
      </c>
    </row>
    <row r="17" spans="1:7" x14ac:dyDescent="0.3">
      <c r="A17">
        <v>43</v>
      </c>
      <c r="C17">
        <v>47</v>
      </c>
      <c r="D17">
        <v>4</v>
      </c>
      <c r="E17">
        <f t="shared" si="1"/>
        <v>0.04</v>
      </c>
      <c r="G17">
        <f t="shared" si="2"/>
        <v>19.184400000000021</v>
      </c>
    </row>
    <row r="18" spans="1:7" x14ac:dyDescent="0.3">
      <c r="A18">
        <v>40</v>
      </c>
      <c r="C18">
        <v>48</v>
      </c>
      <c r="D18">
        <v>7</v>
      </c>
      <c r="E18">
        <f t="shared" si="1"/>
        <v>7.0000000000000007E-2</v>
      </c>
      <c r="G18">
        <f t="shared" si="2"/>
        <v>54.46440000000004</v>
      </c>
    </row>
    <row r="19" spans="1:7" x14ac:dyDescent="0.3">
      <c r="A19">
        <v>42</v>
      </c>
      <c r="C19">
        <v>49</v>
      </c>
      <c r="D19">
        <v>3</v>
      </c>
      <c r="E19">
        <f t="shared" si="1"/>
        <v>0.03</v>
      </c>
      <c r="G19">
        <f t="shared" si="2"/>
        <v>28.944400000000027</v>
      </c>
    </row>
    <row r="20" spans="1:7" x14ac:dyDescent="0.3">
      <c r="A20">
        <v>51</v>
      </c>
      <c r="C20">
        <v>50</v>
      </c>
      <c r="D20">
        <v>3</v>
      </c>
      <c r="E20">
        <f t="shared" si="1"/>
        <v>0.03</v>
      </c>
      <c r="G20">
        <f t="shared" si="2"/>
        <v>13.104399999999982</v>
      </c>
    </row>
    <row r="21" spans="1:7" x14ac:dyDescent="0.3">
      <c r="A21">
        <v>38</v>
      </c>
      <c r="C21">
        <v>51</v>
      </c>
      <c r="D21">
        <v>9</v>
      </c>
      <c r="E21">
        <f t="shared" si="1"/>
        <v>0.09</v>
      </c>
      <c r="G21">
        <f t="shared" si="2"/>
        <v>87.984400000000051</v>
      </c>
    </row>
    <row r="22" spans="1:7" x14ac:dyDescent="0.3">
      <c r="A22">
        <v>46</v>
      </c>
      <c r="C22">
        <v>52</v>
      </c>
      <c r="D22">
        <v>7</v>
      </c>
      <c r="E22">
        <f t="shared" si="1"/>
        <v>7.0000000000000007E-2</v>
      </c>
      <c r="G22">
        <f t="shared" si="2"/>
        <v>1.904400000000007</v>
      </c>
    </row>
    <row r="23" spans="1:7" x14ac:dyDescent="0.3">
      <c r="A23">
        <v>43</v>
      </c>
      <c r="C23">
        <v>53</v>
      </c>
      <c r="D23">
        <v>2</v>
      </c>
      <c r="E23" s="3">
        <f t="shared" si="1"/>
        <v>0.02</v>
      </c>
      <c r="G23">
        <f t="shared" si="2"/>
        <v>19.184400000000021</v>
      </c>
    </row>
    <row r="24" spans="1:7" x14ac:dyDescent="0.3">
      <c r="A24">
        <v>44</v>
      </c>
      <c r="C24">
        <v>54</v>
      </c>
      <c r="D24">
        <v>3</v>
      </c>
      <c r="E24">
        <f t="shared" si="1"/>
        <v>0.03</v>
      </c>
      <c r="G24">
        <f t="shared" si="2"/>
        <v>11.424400000000018</v>
      </c>
    </row>
    <row r="25" spans="1:7" x14ac:dyDescent="0.3">
      <c r="A25">
        <v>39</v>
      </c>
      <c r="C25">
        <v>55</v>
      </c>
      <c r="D25">
        <v>4</v>
      </c>
      <c r="E25">
        <f t="shared" si="1"/>
        <v>0.04</v>
      </c>
      <c r="G25">
        <f t="shared" si="2"/>
        <v>70.224400000000045</v>
      </c>
    </row>
    <row r="26" spans="1:7" x14ac:dyDescent="0.3">
      <c r="A26">
        <v>51</v>
      </c>
      <c r="C26">
        <v>56</v>
      </c>
      <c r="D26">
        <v>1</v>
      </c>
      <c r="E26">
        <f t="shared" si="1"/>
        <v>0.01</v>
      </c>
      <c r="G26">
        <f t="shared" si="2"/>
        <v>13.104399999999982</v>
      </c>
    </row>
    <row r="27" spans="1:7" x14ac:dyDescent="0.3">
      <c r="A27">
        <v>58</v>
      </c>
      <c r="C27">
        <v>57</v>
      </c>
      <c r="D27">
        <v>2</v>
      </c>
      <c r="E27">
        <f t="shared" si="1"/>
        <v>0.02</v>
      </c>
      <c r="G27">
        <f t="shared" si="2"/>
        <v>112.78439999999995</v>
      </c>
    </row>
    <row r="28" spans="1:7" x14ac:dyDescent="0.3">
      <c r="A28">
        <v>46</v>
      </c>
      <c r="C28">
        <v>58</v>
      </c>
      <c r="D28">
        <v>4</v>
      </c>
      <c r="E28">
        <f t="shared" si="1"/>
        <v>0.04</v>
      </c>
      <c r="G28">
        <f t="shared" si="2"/>
        <v>1.904400000000007</v>
      </c>
    </row>
    <row r="29" spans="1:7" x14ac:dyDescent="0.3">
      <c r="A29">
        <v>55</v>
      </c>
      <c r="C29">
        <v>59</v>
      </c>
      <c r="D29">
        <v>1</v>
      </c>
      <c r="E29">
        <f t="shared" si="1"/>
        <v>0.01</v>
      </c>
      <c r="G29">
        <f t="shared" si="2"/>
        <v>58.064399999999964</v>
      </c>
    </row>
    <row r="30" spans="1:7" x14ac:dyDescent="0.3">
      <c r="A30">
        <v>48</v>
      </c>
      <c r="C30">
        <v>60</v>
      </c>
      <c r="D30">
        <v>3</v>
      </c>
      <c r="E30">
        <f t="shared" si="1"/>
        <v>0.03</v>
      </c>
      <c r="G30">
        <f t="shared" si="2"/>
        <v>0.38439999999999686</v>
      </c>
    </row>
    <row r="31" spans="1:7" x14ac:dyDescent="0.3">
      <c r="A31">
        <v>46</v>
      </c>
      <c r="C31">
        <v>61</v>
      </c>
      <c r="D31">
        <v>1</v>
      </c>
      <c r="E31">
        <f t="shared" si="1"/>
        <v>0.01</v>
      </c>
      <c r="G31">
        <f t="shared" si="2"/>
        <v>1.904400000000007</v>
      </c>
    </row>
    <row r="32" spans="1:7" x14ac:dyDescent="0.3">
      <c r="A32">
        <v>49</v>
      </c>
      <c r="G32">
        <f t="shared" si="2"/>
        <v>2.6243999999999916</v>
      </c>
    </row>
    <row r="33" spans="1:7" x14ac:dyDescent="0.3">
      <c r="A33">
        <v>52</v>
      </c>
      <c r="G33">
        <f t="shared" si="2"/>
        <v>21.344399999999975</v>
      </c>
    </row>
    <row r="34" spans="1:7" x14ac:dyDescent="0.3">
      <c r="A34">
        <v>43</v>
      </c>
      <c r="G34">
        <f t="shared" si="2"/>
        <v>19.184400000000021</v>
      </c>
    </row>
    <row r="35" spans="1:7" x14ac:dyDescent="0.3">
      <c r="A35">
        <v>48</v>
      </c>
      <c r="G35">
        <f t="shared" si="2"/>
        <v>0.38439999999999686</v>
      </c>
    </row>
    <row r="36" spans="1:7" x14ac:dyDescent="0.3">
      <c r="A36">
        <v>43</v>
      </c>
      <c r="G36">
        <f t="shared" si="2"/>
        <v>19.184400000000021</v>
      </c>
    </row>
    <row r="37" spans="1:7" x14ac:dyDescent="0.3">
      <c r="A37">
        <v>48</v>
      </c>
      <c r="G37">
        <f t="shared" si="2"/>
        <v>0.38439999999999686</v>
      </c>
    </row>
    <row r="38" spans="1:7" x14ac:dyDescent="0.3">
      <c r="A38">
        <v>52</v>
      </c>
      <c r="G38">
        <f t="shared" si="2"/>
        <v>21.344399999999975</v>
      </c>
    </row>
    <row r="39" spans="1:7" x14ac:dyDescent="0.3">
      <c r="A39">
        <v>42</v>
      </c>
      <c r="G39">
        <f t="shared" si="2"/>
        <v>28.944400000000027</v>
      </c>
    </row>
    <row r="40" spans="1:7" x14ac:dyDescent="0.3">
      <c r="A40">
        <v>55</v>
      </c>
      <c r="G40">
        <f t="shared" si="2"/>
        <v>58.064399999999964</v>
      </c>
    </row>
    <row r="41" spans="1:7" x14ac:dyDescent="0.3">
      <c r="A41">
        <v>47</v>
      </c>
      <c r="G41">
        <f t="shared" si="2"/>
        <v>0.14440000000000194</v>
      </c>
    </row>
    <row r="42" spans="1:7" x14ac:dyDescent="0.3">
      <c r="A42">
        <v>39</v>
      </c>
      <c r="G42">
        <f t="shared" si="2"/>
        <v>70.224400000000045</v>
      </c>
    </row>
    <row r="43" spans="1:7" x14ac:dyDescent="0.3">
      <c r="A43">
        <v>61</v>
      </c>
      <c r="G43">
        <f t="shared" si="2"/>
        <v>185.50439999999992</v>
      </c>
    </row>
    <row r="44" spans="1:7" x14ac:dyDescent="0.3">
      <c r="A44">
        <v>40</v>
      </c>
      <c r="G44">
        <f t="shared" si="2"/>
        <v>54.46440000000004</v>
      </c>
    </row>
    <row r="45" spans="1:7" x14ac:dyDescent="0.3">
      <c r="A45">
        <v>48</v>
      </c>
      <c r="G45">
        <f t="shared" si="2"/>
        <v>0.38439999999999686</v>
      </c>
    </row>
    <row r="46" spans="1:7" x14ac:dyDescent="0.3">
      <c r="A46">
        <v>46</v>
      </c>
      <c r="G46">
        <f t="shared" si="2"/>
        <v>1.904400000000007</v>
      </c>
    </row>
    <row r="47" spans="1:7" x14ac:dyDescent="0.3">
      <c r="A47">
        <v>49</v>
      </c>
      <c r="G47">
        <f t="shared" si="2"/>
        <v>2.6243999999999916</v>
      </c>
    </row>
    <row r="48" spans="1:7" x14ac:dyDescent="0.3">
      <c r="A48">
        <v>54</v>
      </c>
      <c r="G48">
        <f t="shared" si="2"/>
        <v>43.824399999999969</v>
      </c>
    </row>
    <row r="49" spans="1:7" x14ac:dyDescent="0.3">
      <c r="A49">
        <v>48</v>
      </c>
      <c r="G49">
        <f t="shared" si="2"/>
        <v>0.38439999999999686</v>
      </c>
    </row>
    <row r="50" spans="1:7" x14ac:dyDescent="0.3">
      <c r="A50">
        <v>58</v>
      </c>
      <c r="G50">
        <f t="shared" si="2"/>
        <v>112.78439999999995</v>
      </c>
    </row>
    <row r="51" spans="1:7" x14ac:dyDescent="0.3">
      <c r="A51">
        <v>51</v>
      </c>
      <c r="G51">
        <f t="shared" si="2"/>
        <v>13.104399999999982</v>
      </c>
    </row>
    <row r="52" spans="1:7" x14ac:dyDescent="0.3">
      <c r="A52">
        <v>54</v>
      </c>
      <c r="G52">
        <f t="shared" si="2"/>
        <v>43.824399999999969</v>
      </c>
    </row>
    <row r="53" spans="1:7" x14ac:dyDescent="0.3">
      <c r="A53">
        <v>38</v>
      </c>
      <c r="G53">
        <f t="shared" si="2"/>
        <v>87.984400000000051</v>
      </c>
    </row>
    <row r="54" spans="1:7" x14ac:dyDescent="0.3">
      <c r="A54">
        <v>52</v>
      </c>
      <c r="G54">
        <f t="shared" si="2"/>
        <v>21.344399999999975</v>
      </c>
    </row>
    <row r="55" spans="1:7" x14ac:dyDescent="0.3">
      <c r="A55">
        <v>55</v>
      </c>
      <c r="G55">
        <f t="shared" si="2"/>
        <v>58.064399999999964</v>
      </c>
    </row>
    <row r="56" spans="1:7" x14ac:dyDescent="0.3">
      <c r="A56">
        <v>52</v>
      </c>
      <c r="G56">
        <f t="shared" si="2"/>
        <v>21.344399999999975</v>
      </c>
    </row>
    <row r="57" spans="1:7" x14ac:dyDescent="0.3">
      <c r="A57">
        <v>50</v>
      </c>
      <c r="G57">
        <f t="shared" si="2"/>
        <v>6.8643999999999865</v>
      </c>
    </row>
    <row r="58" spans="1:7" x14ac:dyDescent="0.3">
      <c r="A58">
        <v>41</v>
      </c>
      <c r="G58">
        <f t="shared" si="2"/>
        <v>40.704400000000035</v>
      </c>
    </row>
    <row r="59" spans="1:7" x14ac:dyDescent="0.3">
      <c r="A59">
        <v>37</v>
      </c>
      <c r="G59">
        <f t="shared" si="2"/>
        <v>107.74440000000006</v>
      </c>
    </row>
    <row r="60" spans="1:7" x14ac:dyDescent="0.3">
      <c r="A60">
        <v>43</v>
      </c>
      <c r="G60">
        <f t="shared" si="2"/>
        <v>19.184400000000021</v>
      </c>
    </row>
    <row r="61" spans="1:7" x14ac:dyDescent="0.3">
      <c r="A61">
        <v>52</v>
      </c>
      <c r="G61">
        <f t="shared" si="2"/>
        <v>21.344399999999975</v>
      </c>
    </row>
    <row r="62" spans="1:7" x14ac:dyDescent="0.3">
      <c r="A62">
        <v>56</v>
      </c>
      <c r="G62">
        <f t="shared" si="2"/>
        <v>74.304399999999958</v>
      </c>
    </row>
    <row r="63" spans="1:7" x14ac:dyDescent="0.3">
      <c r="A63">
        <v>44</v>
      </c>
      <c r="G63">
        <f t="shared" si="2"/>
        <v>11.424400000000018</v>
      </c>
    </row>
    <row r="64" spans="1:7" x14ac:dyDescent="0.3">
      <c r="A64">
        <v>43</v>
      </c>
      <c r="G64">
        <f t="shared" si="2"/>
        <v>19.184400000000021</v>
      </c>
    </row>
    <row r="65" spans="1:7" x14ac:dyDescent="0.3">
      <c r="A65">
        <v>46</v>
      </c>
      <c r="G65">
        <f t="shared" si="2"/>
        <v>1.904400000000007</v>
      </c>
    </row>
    <row r="66" spans="1:7" x14ac:dyDescent="0.3">
      <c r="A66">
        <v>50</v>
      </c>
      <c r="G66">
        <f t="shared" ref="G66:G100" si="3">(A66-$B$1)^2</f>
        <v>6.8643999999999865</v>
      </c>
    </row>
    <row r="67" spans="1:7" x14ac:dyDescent="0.3">
      <c r="A67">
        <v>52</v>
      </c>
      <c r="G67">
        <f t="shared" si="3"/>
        <v>21.344399999999975</v>
      </c>
    </row>
    <row r="68" spans="1:7" x14ac:dyDescent="0.3">
      <c r="A68">
        <v>43</v>
      </c>
      <c r="G68">
        <f t="shared" si="3"/>
        <v>19.184400000000021</v>
      </c>
    </row>
    <row r="69" spans="1:7" x14ac:dyDescent="0.3">
      <c r="A69">
        <v>46</v>
      </c>
      <c r="G69">
        <f t="shared" si="3"/>
        <v>1.904400000000007</v>
      </c>
    </row>
    <row r="70" spans="1:7" x14ac:dyDescent="0.3">
      <c r="A70">
        <v>47</v>
      </c>
      <c r="G70">
        <f t="shared" si="3"/>
        <v>0.14440000000000194</v>
      </c>
    </row>
    <row r="71" spans="1:7" x14ac:dyDescent="0.3">
      <c r="A71">
        <v>52</v>
      </c>
      <c r="G71">
        <f t="shared" si="3"/>
        <v>21.344399999999975</v>
      </c>
    </row>
    <row r="72" spans="1:7" x14ac:dyDescent="0.3">
      <c r="A72">
        <v>42</v>
      </c>
      <c r="G72">
        <f t="shared" si="3"/>
        <v>28.944400000000027</v>
      </c>
    </row>
    <row r="73" spans="1:7" x14ac:dyDescent="0.3">
      <c r="A73">
        <v>51</v>
      </c>
      <c r="G73">
        <f t="shared" si="3"/>
        <v>13.104399999999982</v>
      </c>
    </row>
    <row r="74" spans="1:7" x14ac:dyDescent="0.3">
      <c r="A74">
        <v>42</v>
      </c>
      <c r="G74">
        <f t="shared" si="3"/>
        <v>28.944400000000027</v>
      </c>
    </row>
    <row r="75" spans="1:7" x14ac:dyDescent="0.3">
      <c r="A75">
        <v>46</v>
      </c>
      <c r="G75">
        <f t="shared" si="3"/>
        <v>1.904400000000007</v>
      </c>
    </row>
    <row r="76" spans="1:7" x14ac:dyDescent="0.3">
      <c r="A76">
        <v>45</v>
      </c>
      <c r="G76">
        <f t="shared" si="3"/>
        <v>5.6644000000000121</v>
      </c>
    </row>
    <row r="77" spans="1:7" x14ac:dyDescent="0.3">
      <c r="A77">
        <v>46</v>
      </c>
      <c r="G77">
        <f t="shared" si="3"/>
        <v>1.904400000000007</v>
      </c>
    </row>
    <row r="78" spans="1:7" x14ac:dyDescent="0.3">
      <c r="A78">
        <v>58</v>
      </c>
      <c r="G78">
        <f t="shared" si="3"/>
        <v>112.78439999999995</v>
      </c>
    </row>
    <row r="79" spans="1:7" x14ac:dyDescent="0.3">
      <c r="A79">
        <v>60</v>
      </c>
      <c r="G79">
        <f t="shared" si="3"/>
        <v>159.26439999999994</v>
      </c>
    </row>
    <row r="80" spans="1:7" x14ac:dyDescent="0.3">
      <c r="A80">
        <v>44</v>
      </c>
      <c r="G80">
        <f t="shared" si="3"/>
        <v>11.424400000000018</v>
      </c>
    </row>
    <row r="81" spans="1:7" x14ac:dyDescent="0.3">
      <c r="A81">
        <v>39</v>
      </c>
      <c r="G81">
        <f t="shared" si="3"/>
        <v>70.224400000000045</v>
      </c>
    </row>
    <row r="82" spans="1:7" x14ac:dyDescent="0.3">
      <c r="A82">
        <v>39</v>
      </c>
      <c r="G82">
        <f t="shared" si="3"/>
        <v>70.224400000000045</v>
      </c>
    </row>
    <row r="83" spans="1:7" x14ac:dyDescent="0.3">
      <c r="A83">
        <v>54</v>
      </c>
      <c r="G83">
        <f t="shared" si="3"/>
        <v>43.824399999999969</v>
      </c>
    </row>
    <row r="84" spans="1:7" x14ac:dyDescent="0.3">
      <c r="A84">
        <v>47</v>
      </c>
      <c r="G84">
        <f t="shared" si="3"/>
        <v>0.14440000000000194</v>
      </c>
    </row>
    <row r="85" spans="1:7" x14ac:dyDescent="0.3">
      <c r="A85">
        <v>45</v>
      </c>
      <c r="G85">
        <f t="shared" si="3"/>
        <v>5.6644000000000121</v>
      </c>
    </row>
    <row r="86" spans="1:7" x14ac:dyDescent="0.3">
      <c r="A86">
        <v>39</v>
      </c>
      <c r="G86">
        <f t="shared" si="3"/>
        <v>70.224400000000045</v>
      </c>
    </row>
    <row r="87" spans="1:7" x14ac:dyDescent="0.3">
      <c r="A87">
        <v>34</v>
      </c>
      <c r="G87">
        <f t="shared" si="3"/>
        <v>179.02440000000007</v>
      </c>
    </row>
    <row r="88" spans="1:7" x14ac:dyDescent="0.3">
      <c r="A88">
        <v>39</v>
      </c>
      <c r="G88">
        <f t="shared" si="3"/>
        <v>70.224400000000045</v>
      </c>
    </row>
    <row r="89" spans="1:7" x14ac:dyDescent="0.3">
      <c r="A89">
        <v>45</v>
      </c>
      <c r="G89">
        <f t="shared" si="3"/>
        <v>5.6644000000000121</v>
      </c>
    </row>
    <row r="90" spans="1:7" x14ac:dyDescent="0.3">
      <c r="A90">
        <v>48</v>
      </c>
      <c r="G90">
        <f t="shared" si="3"/>
        <v>0.38439999999999686</v>
      </c>
    </row>
    <row r="91" spans="1:7" x14ac:dyDescent="0.3">
      <c r="A91">
        <v>42</v>
      </c>
      <c r="G91">
        <f t="shared" si="3"/>
        <v>28.944400000000027</v>
      </c>
    </row>
    <row r="92" spans="1:7" x14ac:dyDescent="0.3">
      <c r="A92">
        <v>51</v>
      </c>
      <c r="G92">
        <f t="shared" si="3"/>
        <v>13.104399999999982</v>
      </c>
    </row>
    <row r="93" spans="1:7" x14ac:dyDescent="0.3">
      <c r="A93">
        <v>38</v>
      </c>
      <c r="G93">
        <f t="shared" si="3"/>
        <v>87.984400000000051</v>
      </c>
    </row>
    <row r="94" spans="1:7" x14ac:dyDescent="0.3">
      <c r="A94">
        <v>42</v>
      </c>
      <c r="G94">
        <f t="shared" si="3"/>
        <v>28.944400000000027</v>
      </c>
    </row>
    <row r="95" spans="1:7" x14ac:dyDescent="0.3">
      <c r="A95">
        <v>45</v>
      </c>
      <c r="G95">
        <f t="shared" si="3"/>
        <v>5.6644000000000121</v>
      </c>
    </row>
    <row r="96" spans="1:7" x14ac:dyDescent="0.3">
      <c r="A96">
        <v>51</v>
      </c>
      <c r="G96">
        <f t="shared" si="3"/>
        <v>13.104399999999982</v>
      </c>
    </row>
    <row r="97" spans="1:7" x14ac:dyDescent="0.3">
      <c r="A97">
        <v>51</v>
      </c>
      <c r="G97">
        <f t="shared" si="3"/>
        <v>13.104399999999982</v>
      </c>
    </row>
    <row r="98" spans="1:7" x14ac:dyDescent="0.3">
      <c r="A98">
        <v>43</v>
      </c>
      <c r="G98">
        <f t="shared" si="3"/>
        <v>19.184400000000021</v>
      </c>
    </row>
    <row r="99" spans="1:7" x14ac:dyDescent="0.3">
      <c r="A99">
        <v>60</v>
      </c>
      <c r="G99">
        <f t="shared" si="3"/>
        <v>159.26439999999994</v>
      </c>
    </row>
    <row r="100" spans="1:7" x14ac:dyDescent="0.3">
      <c r="A100">
        <v>57</v>
      </c>
      <c r="G100">
        <f t="shared" si="3"/>
        <v>92.544399999999953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B6DC-BA7B-4B7C-AD2A-5F46DE092799}">
  <dimension ref="A1:P50"/>
  <sheetViews>
    <sheetView topLeftCell="A34" workbookViewId="0">
      <selection activeCell="P7" sqref="P7"/>
    </sheetView>
  </sheetViews>
  <sheetFormatPr defaultRowHeight="14.4" x14ac:dyDescent="0.3"/>
  <sheetData>
    <row r="1" spans="1:16" x14ac:dyDescent="0.3">
      <c r="A1">
        <v>108</v>
      </c>
      <c r="B1">
        <f t="shared" ref="B1" si="0">AVERAGE(A:A)</f>
        <v>94.76</v>
      </c>
      <c r="C1" s="1">
        <v>73</v>
      </c>
      <c r="D1" s="1">
        <v>1</v>
      </c>
      <c r="E1" s="1">
        <f>D1/50</f>
        <v>0.02</v>
      </c>
      <c r="G1">
        <f>(A1-$B$1)^2</f>
        <v>175.29759999999987</v>
      </c>
    </row>
    <row r="2" spans="1:16" x14ac:dyDescent="0.3">
      <c r="A2">
        <v>106</v>
      </c>
      <c r="C2" s="1">
        <v>74</v>
      </c>
      <c r="D2" s="1">
        <v>0</v>
      </c>
      <c r="E2" s="1">
        <f t="shared" ref="E2:E45" si="1">D2/50</f>
        <v>0</v>
      </c>
      <c r="G2">
        <f t="shared" ref="G2:G50" si="2">(A2-$B$1)^2</f>
        <v>126.33759999999988</v>
      </c>
    </row>
    <row r="3" spans="1:16" x14ac:dyDescent="0.3">
      <c r="A3">
        <v>82</v>
      </c>
      <c r="C3" s="1">
        <v>75</v>
      </c>
      <c r="D3" s="1">
        <v>0</v>
      </c>
      <c r="E3" s="1">
        <f t="shared" si="1"/>
        <v>0</v>
      </c>
      <c r="G3">
        <f t="shared" si="2"/>
        <v>162.81760000000014</v>
      </c>
    </row>
    <row r="4" spans="1:16" x14ac:dyDescent="0.3">
      <c r="A4">
        <v>106</v>
      </c>
      <c r="C4" s="1">
        <v>76</v>
      </c>
      <c r="D4" s="1">
        <v>0</v>
      </c>
      <c r="E4" s="1">
        <f t="shared" si="1"/>
        <v>0</v>
      </c>
      <c r="G4">
        <f t="shared" si="2"/>
        <v>126.33759999999988</v>
      </c>
    </row>
    <row r="5" spans="1:16" x14ac:dyDescent="0.3">
      <c r="A5">
        <v>102</v>
      </c>
      <c r="C5" s="1">
        <v>77</v>
      </c>
      <c r="D5" s="1">
        <v>0</v>
      </c>
      <c r="E5" s="1">
        <f t="shared" si="1"/>
        <v>0</v>
      </c>
      <c r="G5">
        <f t="shared" si="2"/>
        <v>52.417599999999929</v>
      </c>
      <c r="M5" t="s">
        <v>0</v>
      </c>
      <c r="N5" t="s">
        <v>1</v>
      </c>
      <c r="O5" t="s">
        <v>2</v>
      </c>
      <c r="P5" t="s">
        <v>3</v>
      </c>
    </row>
    <row r="6" spans="1:16" x14ac:dyDescent="0.3">
      <c r="A6">
        <v>96</v>
      </c>
      <c r="C6" s="1">
        <v>78</v>
      </c>
      <c r="D6" s="1">
        <v>1</v>
      </c>
      <c r="E6" s="1">
        <f t="shared" si="1"/>
        <v>0.02</v>
      </c>
      <c r="G6">
        <f t="shared" si="2"/>
        <v>1.5375999999999874</v>
      </c>
      <c r="M6">
        <f>SQRT(SUM(G:G)/50)</f>
        <v>9.0764750867283279</v>
      </c>
      <c r="N6">
        <f>M6/SQRT(50)</f>
        <v>1.2836074166192715</v>
      </c>
      <c r="O6">
        <f>B1/80</f>
        <v>1.1845000000000001</v>
      </c>
      <c r="P6">
        <f>N6/80</f>
        <v>1.6045092707740894E-2</v>
      </c>
    </row>
    <row r="7" spans="1:16" x14ac:dyDescent="0.3">
      <c r="A7">
        <v>90</v>
      </c>
      <c r="C7" s="1">
        <v>79</v>
      </c>
      <c r="D7" s="1">
        <v>0</v>
      </c>
      <c r="E7" s="1">
        <f t="shared" si="1"/>
        <v>0</v>
      </c>
      <c r="G7">
        <f t="shared" si="2"/>
        <v>22.657600000000048</v>
      </c>
    </row>
    <row r="8" spans="1:16" x14ac:dyDescent="0.3">
      <c r="A8">
        <v>89</v>
      </c>
      <c r="C8">
        <v>80</v>
      </c>
      <c r="D8">
        <v>2</v>
      </c>
      <c r="E8">
        <f t="shared" si="1"/>
        <v>0.04</v>
      </c>
      <c r="G8">
        <f t="shared" si="2"/>
        <v>33.177600000000062</v>
      </c>
    </row>
    <row r="9" spans="1:16" x14ac:dyDescent="0.3">
      <c r="A9">
        <v>83</v>
      </c>
      <c r="C9">
        <v>81</v>
      </c>
      <c r="D9">
        <v>0</v>
      </c>
      <c r="E9">
        <f t="shared" si="1"/>
        <v>0</v>
      </c>
      <c r="G9">
        <f t="shared" si="2"/>
        <v>138.29760000000013</v>
      </c>
    </row>
    <row r="10" spans="1:16" x14ac:dyDescent="0.3">
      <c r="A10">
        <v>93</v>
      </c>
      <c r="C10">
        <v>82</v>
      </c>
      <c r="D10">
        <v>1</v>
      </c>
      <c r="E10">
        <f t="shared" si="1"/>
        <v>0.02</v>
      </c>
      <c r="G10">
        <f t="shared" si="2"/>
        <v>3.0976000000000181</v>
      </c>
    </row>
    <row r="11" spans="1:16" x14ac:dyDescent="0.3">
      <c r="A11">
        <v>84</v>
      </c>
      <c r="C11">
        <v>83</v>
      </c>
      <c r="D11">
        <v>1</v>
      </c>
      <c r="E11">
        <f t="shared" si="1"/>
        <v>0.02</v>
      </c>
      <c r="G11">
        <f t="shared" si="2"/>
        <v>115.77760000000011</v>
      </c>
    </row>
    <row r="12" spans="1:16" x14ac:dyDescent="0.3">
      <c r="A12">
        <v>87</v>
      </c>
      <c r="C12">
        <v>84</v>
      </c>
      <c r="D12">
        <v>2</v>
      </c>
      <c r="E12">
        <f t="shared" si="1"/>
        <v>0.04</v>
      </c>
      <c r="G12">
        <f t="shared" si="2"/>
        <v>60.217600000000083</v>
      </c>
    </row>
    <row r="13" spans="1:16" x14ac:dyDescent="0.3">
      <c r="A13">
        <v>90</v>
      </c>
      <c r="C13">
        <v>85</v>
      </c>
      <c r="D13">
        <v>0</v>
      </c>
      <c r="E13">
        <f t="shared" si="1"/>
        <v>0</v>
      </c>
      <c r="G13">
        <f t="shared" si="2"/>
        <v>22.657600000000048</v>
      </c>
    </row>
    <row r="14" spans="1:16" x14ac:dyDescent="0.3">
      <c r="A14">
        <v>104</v>
      </c>
      <c r="C14">
        <v>86</v>
      </c>
      <c r="D14">
        <v>1</v>
      </c>
      <c r="E14">
        <f t="shared" si="1"/>
        <v>0.02</v>
      </c>
      <c r="G14">
        <f t="shared" si="2"/>
        <v>85.377599999999902</v>
      </c>
    </row>
    <row r="15" spans="1:16" x14ac:dyDescent="0.3">
      <c r="A15">
        <v>103</v>
      </c>
      <c r="C15">
        <v>87</v>
      </c>
      <c r="D15">
        <v>2</v>
      </c>
      <c r="E15">
        <f t="shared" si="1"/>
        <v>0.04</v>
      </c>
      <c r="G15">
        <f t="shared" si="2"/>
        <v>67.897599999999912</v>
      </c>
    </row>
    <row r="16" spans="1:16" x14ac:dyDescent="0.3">
      <c r="A16">
        <v>95</v>
      </c>
      <c r="C16">
        <v>88</v>
      </c>
      <c r="D16">
        <v>0</v>
      </c>
      <c r="E16">
        <f t="shared" si="1"/>
        <v>0</v>
      </c>
      <c r="G16">
        <f t="shared" si="2"/>
        <v>5.7599999999997542E-2</v>
      </c>
    </row>
    <row r="17" spans="1:7" x14ac:dyDescent="0.3">
      <c r="A17">
        <v>95</v>
      </c>
      <c r="C17">
        <v>89</v>
      </c>
      <c r="D17">
        <v>2</v>
      </c>
      <c r="E17" s="2">
        <f t="shared" si="1"/>
        <v>0.04</v>
      </c>
      <c r="F17">
        <v>0.04</v>
      </c>
      <c r="G17">
        <f t="shared" si="2"/>
        <v>5.7599999999997542E-2</v>
      </c>
    </row>
    <row r="18" spans="1:7" x14ac:dyDescent="0.3">
      <c r="A18">
        <v>91</v>
      </c>
      <c r="C18">
        <v>90</v>
      </c>
      <c r="D18">
        <v>3</v>
      </c>
      <c r="E18">
        <f t="shared" si="1"/>
        <v>0.06</v>
      </c>
      <c r="G18">
        <f t="shared" si="2"/>
        <v>14.137600000000038</v>
      </c>
    </row>
    <row r="19" spans="1:7" x14ac:dyDescent="0.3">
      <c r="A19">
        <v>100</v>
      </c>
      <c r="C19">
        <v>91</v>
      </c>
      <c r="D19">
        <v>3</v>
      </c>
      <c r="E19">
        <f t="shared" si="1"/>
        <v>0.06</v>
      </c>
      <c r="G19">
        <f t="shared" si="2"/>
        <v>27.457599999999946</v>
      </c>
    </row>
    <row r="20" spans="1:7" x14ac:dyDescent="0.3">
      <c r="A20">
        <v>97</v>
      </c>
      <c r="C20">
        <v>92</v>
      </c>
      <c r="D20">
        <v>1</v>
      </c>
      <c r="E20" s="2">
        <f t="shared" si="1"/>
        <v>0.02</v>
      </c>
      <c r="F20">
        <v>0.02</v>
      </c>
      <c r="G20">
        <f t="shared" si="2"/>
        <v>5.0175999999999767</v>
      </c>
    </row>
    <row r="21" spans="1:7" x14ac:dyDescent="0.3">
      <c r="A21">
        <v>86</v>
      </c>
      <c r="C21">
        <v>93</v>
      </c>
      <c r="D21">
        <v>5</v>
      </c>
      <c r="E21">
        <f t="shared" si="1"/>
        <v>0.1</v>
      </c>
      <c r="G21">
        <f t="shared" si="2"/>
        <v>76.737600000000086</v>
      </c>
    </row>
    <row r="22" spans="1:7" x14ac:dyDescent="0.3">
      <c r="A22">
        <v>101</v>
      </c>
      <c r="C22">
        <v>94</v>
      </c>
      <c r="D22">
        <v>3</v>
      </c>
      <c r="E22">
        <f t="shared" si="1"/>
        <v>0.06</v>
      </c>
      <c r="G22">
        <f t="shared" si="2"/>
        <v>38.937599999999939</v>
      </c>
    </row>
    <row r="23" spans="1:7" x14ac:dyDescent="0.3">
      <c r="A23">
        <v>94</v>
      </c>
      <c r="C23">
        <v>95</v>
      </c>
      <c r="D23">
        <v>3</v>
      </c>
      <c r="E23">
        <f t="shared" si="1"/>
        <v>0.06</v>
      </c>
      <c r="G23">
        <f t="shared" si="2"/>
        <v>0.57760000000000777</v>
      </c>
    </row>
    <row r="24" spans="1:7" x14ac:dyDescent="0.3">
      <c r="A24">
        <v>103</v>
      </c>
      <c r="C24">
        <v>96</v>
      </c>
      <c r="D24">
        <v>3</v>
      </c>
      <c r="E24">
        <f t="shared" si="1"/>
        <v>0.06</v>
      </c>
      <c r="G24">
        <f t="shared" si="2"/>
        <v>67.897599999999912</v>
      </c>
    </row>
    <row r="25" spans="1:7" x14ac:dyDescent="0.3">
      <c r="A25">
        <v>106</v>
      </c>
      <c r="C25">
        <v>97</v>
      </c>
      <c r="D25">
        <v>1</v>
      </c>
      <c r="E25">
        <f t="shared" si="1"/>
        <v>0.02</v>
      </c>
      <c r="G25">
        <f t="shared" si="2"/>
        <v>126.33759999999988</v>
      </c>
    </row>
    <row r="26" spans="1:7" x14ac:dyDescent="0.3">
      <c r="A26">
        <v>105</v>
      </c>
      <c r="C26">
        <v>98</v>
      </c>
      <c r="D26">
        <v>1</v>
      </c>
      <c r="E26" s="2">
        <f t="shared" si="1"/>
        <v>0.02</v>
      </c>
      <c r="F26">
        <v>0.02</v>
      </c>
      <c r="G26">
        <f t="shared" si="2"/>
        <v>104.85759999999989</v>
      </c>
    </row>
    <row r="27" spans="1:7" x14ac:dyDescent="0.3">
      <c r="A27">
        <v>90</v>
      </c>
      <c r="C27">
        <v>99</v>
      </c>
      <c r="D27">
        <v>0</v>
      </c>
      <c r="E27">
        <f t="shared" si="1"/>
        <v>0</v>
      </c>
      <c r="G27">
        <f t="shared" si="2"/>
        <v>22.657600000000048</v>
      </c>
    </row>
    <row r="28" spans="1:7" x14ac:dyDescent="0.3">
      <c r="A28">
        <v>107</v>
      </c>
      <c r="C28">
        <v>100</v>
      </c>
      <c r="D28">
        <v>1</v>
      </c>
      <c r="E28">
        <f t="shared" si="1"/>
        <v>0.02</v>
      </c>
      <c r="G28">
        <f t="shared" si="2"/>
        <v>149.81759999999989</v>
      </c>
    </row>
    <row r="29" spans="1:7" x14ac:dyDescent="0.3">
      <c r="A29">
        <v>91</v>
      </c>
      <c r="C29">
        <v>101</v>
      </c>
      <c r="D29">
        <v>2</v>
      </c>
      <c r="E29">
        <f t="shared" si="1"/>
        <v>0.04</v>
      </c>
      <c r="G29">
        <f t="shared" si="2"/>
        <v>14.137600000000038</v>
      </c>
    </row>
    <row r="30" spans="1:7" x14ac:dyDescent="0.3">
      <c r="A30">
        <v>80</v>
      </c>
      <c r="C30">
        <v>102</v>
      </c>
      <c r="D30">
        <v>1</v>
      </c>
      <c r="E30">
        <f t="shared" si="1"/>
        <v>0.02</v>
      </c>
      <c r="G30">
        <f t="shared" si="2"/>
        <v>217.85760000000016</v>
      </c>
    </row>
    <row r="31" spans="1:7" x14ac:dyDescent="0.3">
      <c r="A31">
        <v>108</v>
      </c>
      <c r="C31">
        <v>103</v>
      </c>
      <c r="D31">
        <v>2</v>
      </c>
      <c r="E31">
        <f t="shared" si="1"/>
        <v>0.04</v>
      </c>
      <c r="G31">
        <f t="shared" si="2"/>
        <v>175.29759999999987</v>
      </c>
    </row>
    <row r="32" spans="1:7" x14ac:dyDescent="0.3">
      <c r="A32">
        <v>87</v>
      </c>
      <c r="C32">
        <v>104</v>
      </c>
      <c r="D32">
        <v>3</v>
      </c>
      <c r="E32">
        <f t="shared" si="1"/>
        <v>0.06</v>
      </c>
      <c r="G32">
        <f t="shared" si="2"/>
        <v>60.217600000000083</v>
      </c>
    </row>
    <row r="33" spans="1:7" x14ac:dyDescent="0.3">
      <c r="A33">
        <v>96</v>
      </c>
      <c r="C33">
        <v>105</v>
      </c>
      <c r="D33">
        <v>1</v>
      </c>
      <c r="E33">
        <f t="shared" si="1"/>
        <v>0.02</v>
      </c>
      <c r="G33">
        <f t="shared" si="2"/>
        <v>1.5375999999999874</v>
      </c>
    </row>
    <row r="34" spans="1:7" x14ac:dyDescent="0.3">
      <c r="A34">
        <v>95</v>
      </c>
      <c r="C34">
        <v>106</v>
      </c>
      <c r="D34">
        <v>3</v>
      </c>
      <c r="E34">
        <f t="shared" si="1"/>
        <v>0.06</v>
      </c>
      <c r="G34">
        <f t="shared" si="2"/>
        <v>5.7599999999997542E-2</v>
      </c>
    </row>
    <row r="35" spans="1:7" x14ac:dyDescent="0.3">
      <c r="A35">
        <v>93</v>
      </c>
      <c r="C35">
        <v>107</v>
      </c>
      <c r="D35">
        <v>1</v>
      </c>
      <c r="E35">
        <f t="shared" si="1"/>
        <v>0.02</v>
      </c>
      <c r="G35">
        <f t="shared" si="2"/>
        <v>3.0976000000000181</v>
      </c>
    </row>
    <row r="36" spans="1:7" x14ac:dyDescent="0.3">
      <c r="A36">
        <v>94</v>
      </c>
      <c r="C36">
        <v>108</v>
      </c>
      <c r="D36">
        <v>2</v>
      </c>
      <c r="E36">
        <f t="shared" si="1"/>
        <v>0.04</v>
      </c>
      <c r="G36">
        <f t="shared" si="2"/>
        <v>0.57760000000000777</v>
      </c>
    </row>
    <row r="37" spans="1:7" x14ac:dyDescent="0.3">
      <c r="A37">
        <v>93</v>
      </c>
      <c r="C37" s="1">
        <v>109</v>
      </c>
      <c r="D37" s="1">
        <v>0</v>
      </c>
      <c r="E37" s="1">
        <f t="shared" si="1"/>
        <v>0</v>
      </c>
      <c r="G37">
        <f t="shared" si="2"/>
        <v>3.0976000000000181</v>
      </c>
    </row>
    <row r="38" spans="1:7" x14ac:dyDescent="0.3">
      <c r="A38">
        <v>91</v>
      </c>
      <c r="C38" s="1">
        <v>110</v>
      </c>
      <c r="D38" s="1">
        <v>0</v>
      </c>
      <c r="E38" s="1">
        <f t="shared" si="1"/>
        <v>0</v>
      </c>
      <c r="G38">
        <f t="shared" si="2"/>
        <v>14.137600000000038</v>
      </c>
    </row>
    <row r="39" spans="1:7" x14ac:dyDescent="0.3">
      <c r="A39">
        <v>104</v>
      </c>
      <c r="C39" s="1">
        <v>111</v>
      </c>
      <c r="D39" s="1">
        <v>0</v>
      </c>
      <c r="E39" s="1">
        <f t="shared" si="1"/>
        <v>0</v>
      </c>
      <c r="G39">
        <f t="shared" si="2"/>
        <v>85.377599999999902</v>
      </c>
    </row>
    <row r="40" spans="1:7" x14ac:dyDescent="0.3">
      <c r="A40">
        <v>104</v>
      </c>
      <c r="C40" s="1">
        <v>112</v>
      </c>
      <c r="D40" s="1">
        <v>0</v>
      </c>
      <c r="E40" s="1">
        <f t="shared" si="1"/>
        <v>0</v>
      </c>
      <c r="G40">
        <f t="shared" si="2"/>
        <v>85.377599999999902</v>
      </c>
    </row>
    <row r="41" spans="1:7" x14ac:dyDescent="0.3">
      <c r="A41">
        <v>78</v>
      </c>
      <c r="C41" s="1">
        <v>113</v>
      </c>
      <c r="D41" s="1">
        <v>0</v>
      </c>
      <c r="E41" s="1">
        <f t="shared" si="1"/>
        <v>0</v>
      </c>
      <c r="G41">
        <f t="shared" si="2"/>
        <v>280.89760000000018</v>
      </c>
    </row>
    <row r="42" spans="1:7" x14ac:dyDescent="0.3">
      <c r="A42">
        <v>101</v>
      </c>
      <c r="C42" s="1">
        <v>114</v>
      </c>
      <c r="D42" s="1">
        <v>0</v>
      </c>
      <c r="E42" s="1">
        <f t="shared" si="1"/>
        <v>0</v>
      </c>
      <c r="G42">
        <f t="shared" si="2"/>
        <v>38.937599999999939</v>
      </c>
    </row>
    <row r="43" spans="1:7" x14ac:dyDescent="0.3">
      <c r="A43">
        <v>84</v>
      </c>
      <c r="C43" s="1">
        <v>115</v>
      </c>
      <c r="D43" s="1">
        <v>0</v>
      </c>
      <c r="E43" s="1">
        <f t="shared" si="1"/>
        <v>0</v>
      </c>
      <c r="G43">
        <f t="shared" si="2"/>
        <v>115.77760000000011</v>
      </c>
    </row>
    <row r="44" spans="1:7" x14ac:dyDescent="0.3">
      <c r="A44">
        <v>73</v>
      </c>
      <c r="C44" s="1">
        <v>116</v>
      </c>
      <c r="D44" s="1">
        <v>0</v>
      </c>
      <c r="E44" s="1">
        <f t="shared" si="1"/>
        <v>0</v>
      </c>
      <c r="G44">
        <f t="shared" si="2"/>
        <v>473.4976000000002</v>
      </c>
    </row>
    <row r="45" spans="1:7" x14ac:dyDescent="0.3">
      <c r="A45">
        <v>93</v>
      </c>
      <c r="C45" s="1">
        <v>117</v>
      </c>
      <c r="D45" s="1">
        <v>1</v>
      </c>
      <c r="E45" s="1">
        <f t="shared" si="1"/>
        <v>0.02</v>
      </c>
      <c r="G45">
        <f t="shared" si="2"/>
        <v>3.0976000000000181</v>
      </c>
    </row>
    <row r="46" spans="1:7" x14ac:dyDescent="0.3">
      <c r="A46">
        <v>93</v>
      </c>
      <c r="G46">
        <f t="shared" si="2"/>
        <v>3.0976000000000181</v>
      </c>
    </row>
    <row r="47" spans="1:7" x14ac:dyDescent="0.3">
      <c r="A47">
        <v>80</v>
      </c>
      <c r="G47">
        <f t="shared" si="2"/>
        <v>217.85760000000016</v>
      </c>
    </row>
    <row r="48" spans="1:7" x14ac:dyDescent="0.3">
      <c r="A48">
        <v>96</v>
      </c>
      <c r="G48">
        <f t="shared" si="2"/>
        <v>1.5375999999999874</v>
      </c>
    </row>
    <row r="49" spans="1:7" x14ac:dyDescent="0.3">
      <c r="A49">
        <v>94</v>
      </c>
      <c r="G49">
        <f t="shared" si="2"/>
        <v>0.57760000000000777</v>
      </c>
    </row>
    <row r="50" spans="1:7" x14ac:dyDescent="0.3">
      <c r="A50">
        <v>117</v>
      </c>
      <c r="G50">
        <f t="shared" si="2"/>
        <v>494.61759999999975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10</vt:lpstr>
      <vt:lpstr>20</vt:lpstr>
      <vt:lpstr>40</vt:lpstr>
      <vt:lpstr>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2024-09-20T19:24:51Z</dcterms:created>
  <dcterms:modified xsi:type="dcterms:W3CDTF">2024-09-21T09:39:48Z</dcterms:modified>
</cp:coreProperties>
</file>